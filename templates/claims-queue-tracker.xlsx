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'Queue'!$A$4:$Q$11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wrapText="1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4" customWidth="1" min="4" max="4"/>
    <col width="14" customWidth="1" min="5" max="5"/>
    <col width="7" customWidth="1" min="6" max="6"/>
    <col width="11" customWidth="1" min="7" max="7"/>
    <col width="10" customWidth="1" min="8" max="8"/>
    <col width="11" customWidth="1" min="9" max="9"/>
    <col width="16" customWidth="1" min="10" max="10"/>
    <col width="8" customWidth="1" min="11" max="11"/>
    <col width="12" customWidth="1" min="12" max="12"/>
    <col width="12" customWidth="1" min="13" max="13"/>
    <col width="10" customWidth="1" min="14" max="14"/>
    <col width="11" customWidth="1" min="15" max="15"/>
    <col width="20" customWidth="1" min="16" max="16"/>
    <col width="32" customWidth="1" min="17" max="17"/>
  </cols>
  <sheetData>
    <row r="1">
      <c r="A1" s="1" t="inlineStr">
        <is>
          <t>Claims Queue Tracker (sample data is fictional)</t>
        </is>
      </c>
    </row>
    <row r="2">
      <c r="A2" s="2" t="inlineStr">
        <is>
          <t>Report date:</t>
        </is>
      </c>
      <c r="B2" s="3">
        <f>TODAY()</f>
        <v/>
      </c>
    </row>
    <row r="4">
      <c r="A4" s="4" t="inlineStr">
        <is>
          <t>Ticket #</t>
        </is>
      </c>
      <c r="B4" s="4" t="inlineStr">
        <is>
          <t>Received</t>
        </is>
      </c>
      <c r="C4" s="4" t="inlineStr">
        <is>
          <t>Provider (fictional)</t>
        </is>
      </c>
      <c r="D4" s="4" t="inlineStr">
        <is>
          <t>Claim #</t>
        </is>
      </c>
      <c r="E4" s="4" t="inlineStr">
        <is>
          <t>Inquiry type</t>
        </is>
      </c>
      <c r="F4" s="4" t="inlineStr">
        <is>
          <t>CARC</t>
        </is>
      </c>
      <c r="G4" s="4" t="inlineStr">
        <is>
          <t>Expected $</t>
        </is>
      </c>
      <c r="H4" s="4" t="inlineStr">
        <is>
          <t>Paid $</t>
        </is>
      </c>
      <c r="I4" s="4" t="inlineStr">
        <is>
          <t>Variance $</t>
        </is>
      </c>
      <c r="J4" s="4" t="inlineStr">
        <is>
          <t>Status</t>
        </is>
      </c>
      <c r="K4" s="4" t="inlineStr">
        <is>
          <t>SLA days</t>
        </is>
      </c>
      <c r="L4" s="4" t="inlineStr">
        <is>
          <t>Due date</t>
        </is>
      </c>
      <c r="M4" s="4" t="inlineStr">
        <is>
          <t>Closed</t>
        </is>
      </c>
      <c r="N4" s="4" t="inlineStr">
        <is>
          <t>Aging (days)</t>
        </is>
      </c>
      <c r="O4" s="4" t="inlineStr">
        <is>
          <t>SLA status</t>
        </is>
      </c>
      <c r="P4" s="4" t="inlineStr">
        <is>
          <t>Root cause</t>
        </is>
      </c>
      <c r="Q4" s="4" t="inlineStr">
        <is>
          <t>Notes</t>
        </is>
      </c>
    </row>
    <row r="5">
      <c r="A5" t="inlineStr">
        <is>
          <t>TK-1001</t>
        </is>
      </c>
      <c r="B5" s="3" t="n">
        <v>46293</v>
      </c>
      <c r="C5" t="inlineStr">
        <is>
          <t>Lakeside Family Clinic</t>
        </is>
      </c>
      <c r="D5" t="inlineStr">
        <is>
          <t>CLM-0000001</t>
        </is>
      </c>
      <c r="E5" t="inlineStr">
        <is>
          <t>Denial</t>
        </is>
      </c>
      <c r="F5" t="inlineStr">
        <is>
          <t>18</t>
        </is>
      </c>
      <c r="G5" s="5" t="n">
        <v>150</v>
      </c>
      <c r="H5" s="5" t="n">
        <v>0</v>
      </c>
      <c r="I5" s="5">
        <f>IF(G5="","",G5-H5)</f>
        <v/>
      </c>
      <c r="J5" t="inlineStr">
        <is>
          <t>Closed</t>
        </is>
      </c>
      <c r="K5" t="n">
        <v>5</v>
      </c>
      <c r="L5" s="3">
        <f>IF(B5="","",WORKDAY(B5,K5))</f>
        <v/>
      </c>
      <c r="M5" s="3" t="n">
        <v>46294</v>
      </c>
      <c r="N5">
        <f>IF(B5="","",IF(M5&lt;&gt;"",NETWORKDAYS(B5,M5)-1,NETWORKDAYS(B5,$B$2)-1))</f>
        <v/>
      </c>
      <c r="O5">
        <f>IF(B5="","",IF(M5&lt;&gt;"",IF(M5&lt;=L5,"Met","Missed"),IF($B$2&gt;L5,"Overdue",IF(L5-$B$2&lt;=1,"Due soon","On track"))))</f>
        <v/>
      </c>
      <c r="P5" t="inlineStr">
        <is>
          <t>Provider error</t>
        </is>
      </c>
      <c r="Q5" t="inlineStr">
        <is>
          <t>Duplicate of pended claim</t>
        </is>
      </c>
    </row>
    <row r="6">
      <c r="A6" t="inlineStr">
        <is>
          <t>TK-1002</t>
        </is>
      </c>
      <c r="B6" s="3" t="n">
        <v>46294</v>
      </c>
      <c r="C6" t="inlineStr">
        <is>
          <t>Northside Pediatrics</t>
        </is>
      </c>
      <c r="D6" t="inlineStr">
        <is>
          <t>CLM-0000002</t>
        </is>
      </c>
      <c r="E6" t="inlineStr">
        <is>
          <t>Denial</t>
        </is>
      </c>
      <c r="F6" t="inlineStr">
        <is>
          <t>22</t>
        </is>
      </c>
      <c r="G6" s="5" t="n">
        <v>210</v>
      </c>
      <c r="H6" s="5" t="n">
        <v>0</v>
      </c>
      <c r="I6" s="5">
        <f>IF(G6="","",G6-H6)</f>
        <v/>
      </c>
      <c r="J6" t="inlineStr">
        <is>
          <t>Closed</t>
        </is>
      </c>
      <c r="K6" t="n">
        <v>5</v>
      </c>
      <c r="L6" s="3">
        <f>IF(B6="","",WORKDAY(B6,K6))</f>
        <v/>
      </c>
      <c r="M6" s="3" t="n">
        <v>46296</v>
      </c>
      <c r="N6">
        <f>IF(B6="","",IF(M6&lt;&gt;"",NETWORKDAYS(B6,M6)-1,NETWORKDAYS(B6,$B$2)-1))</f>
        <v/>
      </c>
      <c r="O6">
        <f>IF(B6="","",IF(M6&lt;&gt;"",IF(M6&lt;=L6,"Met","Missed"),IF($B$2&gt;L6,"Overdue",IF(L6-$B$2&lt;=1,"Due soon","On track"))))</f>
        <v/>
      </c>
      <c r="P6" t="inlineStr">
        <is>
          <t>Correct adjudication</t>
        </is>
      </c>
      <c r="Q6" t="inlineStr">
        <is>
          <t>COB: other plan primary</t>
        </is>
      </c>
    </row>
    <row r="7">
      <c r="A7" t="inlineStr">
        <is>
          <t>TK-1003</t>
        </is>
      </c>
      <c r="B7" s="3" t="n">
        <v>46296</v>
      </c>
      <c r="C7" t="inlineStr">
        <is>
          <t>Riverbend PT</t>
        </is>
      </c>
      <c r="D7" t="inlineStr">
        <is>
          <t>CLM-0000003</t>
        </is>
      </c>
      <c r="E7" t="inlineStr">
        <is>
          <t>Underpayment</t>
        </is>
      </c>
      <c r="F7" t="inlineStr">
        <is>
          <t>45</t>
        </is>
      </c>
      <c r="G7" s="5" t="n">
        <v>110</v>
      </c>
      <c r="H7" s="5" t="n">
        <v>80</v>
      </c>
      <c r="I7" s="5">
        <f>IF(G7="","",G7-H7)</f>
        <v/>
      </c>
      <c r="J7" t="inlineStr">
        <is>
          <t>Escalated</t>
        </is>
      </c>
      <c r="K7" t="n">
        <v>10</v>
      </c>
      <c r="L7" s="3">
        <f>IF(B7="","",WORKDAY(B7,K7))</f>
        <v/>
      </c>
      <c r="M7" s="3" t="n"/>
      <c r="N7">
        <f>IF(B7="","",IF(M7&lt;&gt;"",NETWORKDAYS(B7,M7)-1,NETWORKDAYS(B7,$B$2)-1))</f>
        <v/>
      </c>
      <c r="O7">
        <f>IF(B7="","",IF(M7&lt;&gt;"",IF(M7&lt;=L7,"Met","Missed"),IF($B$2&gt;L7,"Overdue",IF(L7-$B$2&lt;=1,"Due soon","On track"))))</f>
        <v/>
      </c>
      <c r="P7" t="inlineStr">
        <is>
          <t>Payer error</t>
        </is>
      </c>
      <c r="Q7" t="inlineStr">
        <is>
          <t>Fee schedule not updated</t>
        </is>
      </c>
    </row>
    <row r="8">
      <c r="A8" t="inlineStr">
        <is>
          <t>TK-1004</t>
        </is>
      </c>
      <c r="B8" s="3" t="n">
        <v>46297</v>
      </c>
      <c r="C8" t="inlineStr">
        <is>
          <t>Valley Imaging</t>
        </is>
      </c>
      <c r="D8" t="inlineStr">
        <is>
          <t>CLM-0000004</t>
        </is>
      </c>
      <c r="E8" t="inlineStr">
        <is>
          <t>Denial</t>
        </is>
      </c>
      <c r="F8" t="inlineStr">
        <is>
          <t>197</t>
        </is>
      </c>
      <c r="G8" s="5" t="n">
        <v>950</v>
      </c>
      <c r="H8" s="5" t="n">
        <v>0</v>
      </c>
      <c r="I8" s="5">
        <f>IF(G8="","",G8-H8)</f>
        <v/>
      </c>
      <c r="J8" t="inlineStr">
        <is>
          <t>Pending provider</t>
        </is>
      </c>
      <c r="K8" t="n">
        <v>10</v>
      </c>
      <c r="L8" s="3">
        <f>IF(B8="","",WORKDAY(B8,K8))</f>
        <v/>
      </c>
      <c r="M8" s="3" t="n"/>
      <c r="N8">
        <f>IF(B8="","",IF(M8&lt;&gt;"",NETWORKDAYS(B8,M8)-1,NETWORKDAYS(B8,$B$2)-1))</f>
        <v/>
      </c>
      <c r="O8">
        <f>IF(B8="","",IF(M8&lt;&gt;"",IF(M8&lt;=L8,"Met","Missed"),IF($B$2&gt;L8,"Overdue",IF(L8-$B$2&lt;=1,"Due soon","On track"))))</f>
        <v/>
      </c>
      <c r="P8" t="inlineStr">
        <is>
          <t>Provider error</t>
        </is>
      </c>
      <c r="Q8" t="inlineStr">
        <is>
          <t>Auth for 73721, billed 73723</t>
        </is>
      </c>
    </row>
    <row r="9">
      <c r="A9" t="inlineStr">
        <is>
          <t>TK-1005</t>
        </is>
      </c>
      <c r="B9" s="3" t="n">
        <v>46300</v>
      </c>
      <c r="C9" t="inlineStr">
        <is>
          <t>Member inquiry</t>
        </is>
      </c>
      <c r="D9" t="inlineStr">
        <is>
          <t>CLM-0000005</t>
        </is>
      </c>
      <c r="E9" t="inlineStr">
        <is>
          <t>Patient resp.</t>
        </is>
      </c>
      <c r="F9" t="inlineStr">
        <is>
          <t>1</t>
        </is>
      </c>
      <c r="G9" s="5" t="n">
        <v>400</v>
      </c>
      <c r="H9" s="5" t="n">
        <v>0</v>
      </c>
      <c r="I9" s="5">
        <f>IF(G9="","",G9-H9)</f>
        <v/>
      </c>
      <c r="J9" t="inlineStr">
        <is>
          <t>Open</t>
        </is>
      </c>
      <c r="K9" t="n">
        <v>5</v>
      </c>
      <c r="L9" s="3">
        <f>IF(B9="","",WORKDAY(B9,K9))</f>
        <v/>
      </c>
      <c r="M9" s="3" t="n"/>
      <c r="N9">
        <f>IF(B9="","",IF(M9&lt;&gt;"",NETWORKDAYS(B9,M9)-1,NETWORKDAYS(B9,$B$2)-1))</f>
        <v/>
      </c>
      <c r="O9">
        <f>IF(B9="","",IF(M9&lt;&gt;"",IF(M9&lt;=L9,"Met","Missed"),IF($B$2&gt;L9,"Overdue",IF(L9-$B$2&lt;=1,"Due soon","On track"))))</f>
        <v/>
      </c>
      <c r="P9" t="inlineStr">
        <is>
          <t>Payer error</t>
        </is>
      </c>
      <c r="Q9" t="inlineStr">
        <is>
          <t>Accumulator not updated</t>
        </is>
      </c>
    </row>
    <row r="10">
      <c r="A10" t="inlineStr">
        <is>
          <t>TK-1006</t>
        </is>
      </c>
      <c r="B10" s="3" t="n">
        <v>46301</v>
      </c>
      <c r="C10" t="inlineStr">
        <is>
          <t>Harbor Cardiology</t>
        </is>
      </c>
      <c r="D10" t="inlineStr">
        <is>
          <t>CLM-0000006</t>
        </is>
      </c>
      <c r="E10" t="inlineStr">
        <is>
          <t>Claim status</t>
        </is>
      </c>
      <c r="F10" t="inlineStr"/>
      <c r="G10" s="5" t="n">
        <v>320</v>
      </c>
      <c r="H10" s="5" t="n">
        <v>320</v>
      </c>
      <c r="I10" s="5">
        <f>IF(G10="","",G10-H10)</f>
        <v/>
      </c>
      <c r="J10" t="inlineStr">
        <is>
          <t>Closed</t>
        </is>
      </c>
      <c r="K10" t="n">
        <v>3</v>
      </c>
      <c r="L10" s="3">
        <f>IF(B10="","",WORKDAY(B10,K10))</f>
        <v/>
      </c>
      <c r="M10" s="3" t="n">
        <v>46301</v>
      </c>
      <c r="N10">
        <f>IF(B10="","",IF(M10&lt;&gt;"",NETWORKDAYS(B10,M10)-1,NETWORKDAYS(B10,$B$2)-1))</f>
        <v/>
      </c>
      <c r="O10">
        <f>IF(B10="","",IF(M10&lt;&gt;"",IF(M10&lt;=L10,"Met","Missed"),IF($B$2&gt;L10,"Overdue",IF(L10-$B$2&lt;=1,"Due soon","On track"))))</f>
        <v/>
      </c>
      <c r="P10" t="inlineStr">
        <is>
          <t>Correct adjudication</t>
        </is>
      </c>
      <c r="Q10" t="inlineStr">
        <is>
          <t>Paid, EFT trace given</t>
        </is>
      </c>
    </row>
    <row r="11">
      <c r="A11" t="inlineStr">
        <is>
          <t>TK-1007</t>
        </is>
      </c>
      <c r="B11" s="3" t="n">
        <v>46302</v>
      </c>
      <c r="C11" t="inlineStr">
        <is>
          <t>Lakeside Family Clinic</t>
        </is>
      </c>
      <c r="D11" t="inlineStr">
        <is>
          <t>CLM-0000007</t>
        </is>
      </c>
      <c r="E11" t="inlineStr">
        <is>
          <t>Denial</t>
        </is>
      </c>
      <c r="F11" t="inlineStr">
        <is>
          <t>16</t>
        </is>
      </c>
      <c r="G11" s="5" t="n">
        <v>175</v>
      </c>
      <c r="H11" s="5" t="n">
        <v>0</v>
      </c>
      <c r="I11" s="5">
        <f>IF(G11="","",G11-H11)</f>
        <v/>
      </c>
      <c r="J11" t="inlineStr">
        <is>
          <t>Open</t>
        </is>
      </c>
      <c r="K11" t="n">
        <v>5</v>
      </c>
      <c r="L11" s="3">
        <f>IF(B11="","",WORKDAY(B11,K11))</f>
        <v/>
      </c>
      <c r="M11" s="3" t="n"/>
      <c r="N11">
        <f>IF(B11="","",IF(M11&lt;&gt;"",NETWORKDAYS(B11,M11)-1,NETWORKDAYS(B11,$B$2)-1))</f>
        <v/>
      </c>
      <c r="O11">
        <f>IF(B11="","",IF(M11&lt;&gt;"",IF(M11&lt;=L11,"Met","Missed"),IF($B$2&gt;L11,"Overdue",IF(L11-$B$2&lt;=1,"Due soon","On track"))))</f>
        <v/>
      </c>
      <c r="P11" t="inlineStr">
        <is>
          <t>Provider error</t>
        </is>
      </c>
      <c r="Q11" t="inlineStr">
        <is>
          <t>Missing rendering NPI</t>
        </is>
      </c>
    </row>
    <row r="12">
      <c r="B12" s="3" t="n"/>
      <c r="G12" s="5" t="n"/>
      <c r="H12" s="5" t="n"/>
      <c r="I12" s="5">
        <f>IF(G12="","",G12-H12)</f>
        <v/>
      </c>
      <c r="L12" s="3">
        <f>IF(B12="","",WORKDAY(B12,K12))</f>
        <v/>
      </c>
      <c r="M12" s="3" t="n"/>
      <c r="N12">
        <f>IF(B12="","",IF(M12&lt;&gt;"",NETWORKDAYS(B12,M12)-1,NETWORKDAYS(B12,$B$2)-1))</f>
        <v/>
      </c>
      <c r="O12">
        <f>IF(B12="","",IF(M12&lt;&gt;"",IF(M12&lt;=L12,"Met","Missed"),IF($B$2&gt;L12,"Overdue",IF(L12-$B$2&lt;=1,"Due soon","On track"))))</f>
        <v/>
      </c>
    </row>
    <row r="13">
      <c r="B13" s="3" t="n"/>
      <c r="G13" s="5" t="n"/>
      <c r="H13" s="5" t="n"/>
      <c r="I13" s="5">
        <f>IF(G13="","",G13-H13)</f>
        <v/>
      </c>
      <c r="L13" s="3">
        <f>IF(B13="","",WORKDAY(B13,K13))</f>
        <v/>
      </c>
      <c r="M13" s="3" t="n"/>
      <c r="N13">
        <f>IF(B13="","",IF(M13&lt;&gt;"",NETWORKDAYS(B13,M13)-1,NETWORKDAYS(B13,$B$2)-1))</f>
        <v/>
      </c>
      <c r="O13">
        <f>IF(B13="","",IF(M13&lt;&gt;"",IF(M13&lt;=L13,"Met","Missed"),IF($B$2&gt;L13,"Overdue",IF(L13-$B$2&lt;=1,"Due soon","On track"))))</f>
        <v/>
      </c>
    </row>
    <row r="14">
      <c r="B14" s="3" t="n"/>
      <c r="G14" s="5" t="n"/>
      <c r="H14" s="5" t="n"/>
      <c r="I14" s="5">
        <f>IF(G14="","",G14-H14)</f>
        <v/>
      </c>
      <c r="L14" s="3">
        <f>IF(B14="","",WORKDAY(B14,K14))</f>
        <v/>
      </c>
      <c r="M14" s="3" t="n"/>
      <c r="N14">
        <f>IF(B14="","",IF(M14&lt;&gt;"",NETWORKDAYS(B14,M14)-1,NETWORKDAYS(B14,$B$2)-1))</f>
        <v/>
      </c>
      <c r="O14">
        <f>IF(B14="","",IF(M14&lt;&gt;"",IF(M14&lt;=L14,"Met","Missed"),IF($B$2&gt;L14,"Overdue",IF(L14-$B$2&lt;=1,"Due soon","On track"))))</f>
        <v/>
      </c>
    </row>
    <row r="15">
      <c r="B15" s="3" t="n"/>
      <c r="G15" s="5" t="n"/>
      <c r="H15" s="5" t="n"/>
      <c r="I15" s="5">
        <f>IF(G15="","",G15-H15)</f>
        <v/>
      </c>
      <c r="L15" s="3">
        <f>IF(B15="","",WORKDAY(B15,K15))</f>
        <v/>
      </c>
      <c r="M15" s="3" t="n"/>
      <c r="N15">
        <f>IF(B15="","",IF(M15&lt;&gt;"",NETWORKDAYS(B15,M15)-1,NETWORKDAYS(B15,$B$2)-1))</f>
        <v/>
      </c>
      <c r="O15">
        <f>IF(B15="","",IF(M15&lt;&gt;"",IF(M15&lt;=L15,"Met","Missed"),IF($B$2&gt;L15,"Overdue",IF(L15-$B$2&lt;=1,"Due soon","On track"))))</f>
        <v/>
      </c>
    </row>
    <row r="16">
      <c r="B16" s="3" t="n"/>
      <c r="G16" s="5" t="n"/>
      <c r="H16" s="5" t="n"/>
      <c r="I16" s="5">
        <f>IF(G16="","",G16-H16)</f>
        <v/>
      </c>
      <c r="L16" s="3">
        <f>IF(B16="","",WORKDAY(B16,K16))</f>
        <v/>
      </c>
      <c r="M16" s="3" t="n"/>
      <c r="N16">
        <f>IF(B16="","",IF(M16&lt;&gt;"",NETWORKDAYS(B16,M16)-1,NETWORKDAYS(B16,$B$2)-1))</f>
        <v/>
      </c>
      <c r="O16">
        <f>IF(B16="","",IF(M16&lt;&gt;"",IF(M16&lt;=L16,"Met","Missed"),IF($B$2&gt;L16,"Overdue",IF(L16-$B$2&lt;=1,"Due soon","On track"))))</f>
        <v/>
      </c>
    </row>
    <row r="17">
      <c r="B17" s="3" t="n"/>
      <c r="G17" s="5" t="n"/>
      <c r="H17" s="5" t="n"/>
      <c r="I17" s="5">
        <f>IF(G17="","",G17-H17)</f>
        <v/>
      </c>
      <c r="L17" s="3">
        <f>IF(B17="","",WORKDAY(B17,K17))</f>
        <v/>
      </c>
      <c r="M17" s="3" t="n"/>
      <c r="N17">
        <f>IF(B17="","",IF(M17&lt;&gt;"",NETWORKDAYS(B17,M17)-1,NETWORKDAYS(B17,$B$2)-1))</f>
        <v/>
      </c>
      <c r="O17">
        <f>IF(B17="","",IF(M17&lt;&gt;"",IF(M17&lt;=L17,"Met","Missed"),IF($B$2&gt;L17,"Overdue",IF(L17-$B$2&lt;=1,"Due soon","On track"))))</f>
        <v/>
      </c>
    </row>
    <row r="18">
      <c r="B18" s="3" t="n"/>
      <c r="G18" s="5" t="n"/>
      <c r="H18" s="5" t="n"/>
      <c r="I18" s="5">
        <f>IF(G18="","",G18-H18)</f>
        <v/>
      </c>
      <c r="L18" s="3">
        <f>IF(B18="","",WORKDAY(B18,K18))</f>
        <v/>
      </c>
      <c r="M18" s="3" t="n"/>
      <c r="N18">
        <f>IF(B18="","",IF(M18&lt;&gt;"",NETWORKDAYS(B18,M18)-1,NETWORKDAYS(B18,$B$2)-1))</f>
        <v/>
      </c>
      <c r="O18">
        <f>IF(B18="","",IF(M18&lt;&gt;"",IF(M18&lt;=L18,"Met","Missed"),IF($B$2&gt;L18,"Overdue",IF(L18-$B$2&lt;=1,"Due soon","On track"))))</f>
        <v/>
      </c>
    </row>
    <row r="19">
      <c r="B19" s="3" t="n"/>
      <c r="G19" s="5" t="n"/>
      <c r="H19" s="5" t="n"/>
      <c r="I19" s="5">
        <f>IF(G19="","",G19-H19)</f>
        <v/>
      </c>
      <c r="L19" s="3">
        <f>IF(B19="","",WORKDAY(B19,K19))</f>
        <v/>
      </c>
      <c r="M19" s="3" t="n"/>
      <c r="N19">
        <f>IF(B19="","",IF(M19&lt;&gt;"",NETWORKDAYS(B19,M19)-1,NETWORKDAYS(B19,$B$2)-1))</f>
        <v/>
      </c>
      <c r="O19">
        <f>IF(B19="","",IF(M19&lt;&gt;"",IF(M19&lt;=L19,"Met","Missed"),IF($B$2&gt;L19,"Overdue",IF(L19-$B$2&lt;=1,"Due soon","On track"))))</f>
        <v/>
      </c>
    </row>
    <row r="20">
      <c r="B20" s="3" t="n"/>
      <c r="G20" s="5" t="n"/>
      <c r="H20" s="5" t="n"/>
      <c r="I20" s="5">
        <f>IF(G20="","",G20-H20)</f>
        <v/>
      </c>
      <c r="L20" s="3">
        <f>IF(B20="","",WORKDAY(B20,K20))</f>
        <v/>
      </c>
      <c r="M20" s="3" t="n"/>
      <c r="N20">
        <f>IF(B20="","",IF(M20&lt;&gt;"",NETWORKDAYS(B20,M20)-1,NETWORKDAYS(B20,$B$2)-1))</f>
        <v/>
      </c>
      <c r="O20">
        <f>IF(B20="","",IF(M20&lt;&gt;"",IF(M20&lt;=L20,"Met","Missed"),IF($B$2&gt;L20,"Overdue",IF(L20-$B$2&lt;=1,"Due soon","On track"))))</f>
        <v/>
      </c>
    </row>
    <row r="21">
      <c r="B21" s="3" t="n"/>
      <c r="G21" s="5" t="n"/>
      <c r="H21" s="5" t="n"/>
      <c r="I21" s="5">
        <f>IF(G21="","",G21-H21)</f>
        <v/>
      </c>
      <c r="L21" s="3">
        <f>IF(B21="","",WORKDAY(B21,K21))</f>
        <v/>
      </c>
      <c r="M21" s="3" t="n"/>
      <c r="N21">
        <f>IF(B21="","",IF(M21&lt;&gt;"",NETWORKDAYS(B21,M21)-1,NETWORKDAYS(B21,$B$2)-1))</f>
        <v/>
      </c>
      <c r="O21">
        <f>IF(B21="","",IF(M21&lt;&gt;"",IF(M21&lt;=L21,"Met","Missed"),IF($B$2&gt;L21,"Overdue",IF(L21-$B$2&lt;=1,"Due soon","On track"))))</f>
        <v/>
      </c>
    </row>
    <row r="22">
      <c r="B22" s="3" t="n"/>
      <c r="G22" s="5" t="n"/>
      <c r="H22" s="5" t="n"/>
      <c r="I22" s="5">
        <f>IF(G22="","",G22-H22)</f>
        <v/>
      </c>
      <c r="L22" s="3">
        <f>IF(B22="","",WORKDAY(B22,K22))</f>
        <v/>
      </c>
      <c r="M22" s="3" t="n"/>
      <c r="N22">
        <f>IF(B22="","",IF(M22&lt;&gt;"",NETWORKDAYS(B22,M22)-1,NETWORKDAYS(B22,$B$2)-1))</f>
        <v/>
      </c>
      <c r="O22">
        <f>IF(B22="","",IF(M22&lt;&gt;"",IF(M22&lt;=L22,"Met","Missed"),IF($B$2&gt;L22,"Overdue",IF(L22-$B$2&lt;=1,"Due soon","On track"))))</f>
        <v/>
      </c>
    </row>
    <row r="23">
      <c r="B23" s="3" t="n"/>
      <c r="G23" s="5" t="n"/>
      <c r="H23" s="5" t="n"/>
      <c r="I23" s="5">
        <f>IF(G23="","",G23-H23)</f>
        <v/>
      </c>
      <c r="L23" s="3">
        <f>IF(B23="","",WORKDAY(B23,K23))</f>
        <v/>
      </c>
      <c r="M23" s="3" t="n"/>
      <c r="N23">
        <f>IF(B23="","",IF(M23&lt;&gt;"",NETWORKDAYS(B23,M23)-1,NETWORKDAYS(B23,$B$2)-1))</f>
        <v/>
      </c>
      <c r="O23">
        <f>IF(B23="","",IF(M23&lt;&gt;"",IF(M23&lt;=L23,"Met","Missed"),IF($B$2&gt;L23,"Overdue",IF(L23-$B$2&lt;=1,"Due soon","On track"))))</f>
        <v/>
      </c>
    </row>
    <row r="24">
      <c r="B24" s="3" t="n"/>
      <c r="G24" s="5" t="n"/>
      <c r="H24" s="5" t="n"/>
      <c r="I24" s="5">
        <f>IF(G24="","",G24-H24)</f>
        <v/>
      </c>
      <c r="L24" s="3">
        <f>IF(B24="","",WORKDAY(B24,K24))</f>
        <v/>
      </c>
      <c r="M24" s="3" t="n"/>
      <c r="N24">
        <f>IF(B24="","",IF(M24&lt;&gt;"",NETWORKDAYS(B24,M24)-1,NETWORKDAYS(B24,$B$2)-1))</f>
        <v/>
      </c>
      <c r="O24">
        <f>IF(B24="","",IF(M24&lt;&gt;"",IF(M24&lt;=L24,"Met","Missed"),IF($B$2&gt;L24,"Overdue",IF(L24-$B$2&lt;=1,"Due soon","On track"))))</f>
        <v/>
      </c>
    </row>
    <row r="25">
      <c r="B25" s="3" t="n"/>
      <c r="G25" s="5" t="n"/>
      <c r="H25" s="5" t="n"/>
      <c r="I25" s="5">
        <f>IF(G25="","",G25-H25)</f>
        <v/>
      </c>
      <c r="L25" s="3">
        <f>IF(B25="","",WORKDAY(B25,K25))</f>
        <v/>
      </c>
      <c r="M25" s="3" t="n"/>
      <c r="N25">
        <f>IF(B25="","",IF(M25&lt;&gt;"",NETWORKDAYS(B25,M25)-1,NETWORKDAYS(B25,$B$2)-1))</f>
        <v/>
      </c>
      <c r="O25">
        <f>IF(B25="","",IF(M25&lt;&gt;"",IF(M25&lt;=L25,"Met","Missed"),IF($B$2&gt;L25,"Overdue",IF(L25-$B$2&lt;=1,"Due soon","On track"))))</f>
        <v/>
      </c>
    </row>
    <row r="26">
      <c r="B26" s="3" t="n"/>
      <c r="G26" s="5" t="n"/>
      <c r="H26" s="5" t="n"/>
      <c r="I26" s="5">
        <f>IF(G26="","",G26-H26)</f>
        <v/>
      </c>
      <c r="L26" s="3">
        <f>IF(B26="","",WORKDAY(B26,K26))</f>
        <v/>
      </c>
      <c r="M26" s="3" t="n"/>
      <c r="N26">
        <f>IF(B26="","",IF(M26&lt;&gt;"",NETWORKDAYS(B26,M26)-1,NETWORKDAYS(B26,$B$2)-1))</f>
        <v/>
      </c>
      <c r="O26">
        <f>IF(B26="","",IF(M26&lt;&gt;"",IF(M26&lt;=L26,"Met","Missed"),IF($B$2&gt;L26,"Overdue",IF(L26-$B$2&lt;=1,"Due soon","On track"))))</f>
        <v/>
      </c>
    </row>
    <row r="27">
      <c r="B27" s="3" t="n"/>
      <c r="G27" s="5" t="n"/>
      <c r="H27" s="5" t="n"/>
      <c r="I27" s="5">
        <f>IF(G27="","",G27-H27)</f>
        <v/>
      </c>
      <c r="L27" s="3">
        <f>IF(B27="","",WORKDAY(B27,K27))</f>
        <v/>
      </c>
      <c r="M27" s="3" t="n"/>
      <c r="N27">
        <f>IF(B27="","",IF(M27&lt;&gt;"",NETWORKDAYS(B27,M27)-1,NETWORKDAYS(B27,$B$2)-1))</f>
        <v/>
      </c>
      <c r="O27">
        <f>IF(B27="","",IF(M27&lt;&gt;"",IF(M27&lt;=L27,"Met","Missed"),IF($B$2&gt;L27,"Overdue",IF(L27-$B$2&lt;=1,"Due soon","On track"))))</f>
        <v/>
      </c>
    </row>
    <row r="28">
      <c r="B28" s="3" t="n"/>
      <c r="G28" s="5" t="n"/>
      <c r="H28" s="5" t="n"/>
      <c r="I28" s="5">
        <f>IF(G28="","",G28-H28)</f>
        <v/>
      </c>
      <c r="L28" s="3">
        <f>IF(B28="","",WORKDAY(B28,K28))</f>
        <v/>
      </c>
      <c r="M28" s="3" t="n"/>
      <c r="N28">
        <f>IF(B28="","",IF(M28&lt;&gt;"",NETWORKDAYS(B28,M28)-1,NETWORKDAYS(B28,$B$2)-1))</f>
        <v/>
      </c>
      <c r="O28">
        <f>IF(B28="","",IF(M28&lt;&gt;"",IF(M28&lt;=L28,"Met","Missed"),IF($B$2&gt;L28,"Overdue",IF(L28-$B$2&lt;=1,"Due soon","On track"))))</f>
        <v/>
      </c>
    </row>
    <row r="29">
      <c r="B29" s="3" t="n"/>
      <c r="G29" s="5" t="n"/>
      <c r="H29" s="5" t="n"/>
      <c r="I29" s="5">
        <f>IF(G29="","",G29-H29)</f>
        <v/>
      </c>
      <c r="L29" s="3">
        <f>IF(B29="","",WORKDAY(B29,K29))</f>
        <v/>
      </c>
      <c r="M29" s="3" t="n"/>
      <c r="N29">
        <f>IF(B29="","",IF(M29&lt;&gt;"",NETWORKDAYS(B29,M29)-1,NETWORKDAYS(B29,$B$2)-1))</f>
        <v/>
      </c>
      <c r="O29">
        <f>IF(B29="","",IF(M29&lt;&gt;"",IF(M29&lt;=L29,"Met","Missed"),IF($B$2&gt;L29,"Overdue",IF(L29-$B$2&lt;=1,"Due soon","On track"))))</f>
        <v/>
      </c>
    </row>
    <row r="30">
      <c r="B30" s="3" t="n"/>
      <c r="G30" s="5" t="n"/>
      <c r="H30" s="5" t="n"/>
      <c r="I30" s="5">
        <f>IF(G30="","",G30-H30)</f>
        <v/>
      </c>
      <c r="L30" s="3">
        <f>IF(B30="","",WORKDAY(B30,K30))</f>
        <v/>
      </c>
      <c r="M30" s="3" t="n"/>
      <c r="N30">
        <f>IF(B30="","",IF(M30&lt;&gt;"",NETWORKDAYS(B30,M30)-1,NETWORKDAYS(B30,$B$2)-1))</f>
        <v/>
      </c>
      <c r="O30">
        <f>IF(B30="","",IF(M30&lt;&gt;"",IF(M30&lt;=L30,"Met","Missed"),IF($B$2&gt;L30,"Overdue",IF(L30-$B$2&lt;=1,"Due soon","On track"))))</f>
        <v/>
      </c>
    </row>
    <row r="31">
      <c r="B31" s="3" t="n"/>
      <c r="G31" s="5" t="n"/>
      <c r="H31" s="5" t="n"/>
      <c r="I31" s="5">
        <f>IF(G31="","",G31-H31)</f>
        <v/>
      </c>
      <c r="L31" s="3">
        <f>IF(B31="","",WORKDAY(B31,K31))</f>
        <v/>
      </c>
      <c r="M31" s="3" t="n"/>
      <c r="N31">
        <f>IF(B31="","",IF(M31&lt;&gt;"",NETWORKDAYS(B31,M31)-1,NETWORKDAYS(B31,$B$2)-1))</f>
        <v/>
      </c>
      <c r="O31">
        <f>IF(B31="","",IF(M31&lt;&gt;"",IF(M31&lt;=L31,"Met","Missed"),IF($B$2&gt;L31,"Overdue",IF(L31-$B$2&lt;=1,"Due soon","On track"))))</f>
        <v/>
      </c>
    </row>
    <row r="32">
      <c r="B32" s="3" t="n"/>
      <c r="G32" s="5" t="n"/>
      <c r="H32" s="5" t="n"/>
      <c r="I32" s="5">
        <f>IF(G32="","",G32-H32)</f>
        <v/>
      </c>
      <c r="L32" s="3">
        <f>IF(B32="","",WORKDAY(B32,K32))</f>
        <v/>
      </c>
      <c r="M32" s="3" t="n"/>
      <c r="N32">
        <f>IF(B32="","",IF(M32&lt;&gt;"",NETWORKDAYS(B32,M32)-1,NETWORKDAYS(B32,$B$2)-1))</f>
        <v/>
      </c>
      <c r="O32">
        <f>IF(B32="","",IF(M32&lt;&gt;"",IF(M32&lt;=L32,"Met","Missed"),IF($B$2&gt;L32,"Overdue",IF(L32-$B$2&lt;=1,"Due soon","On track"))))</f>
        <v/>
      </c>
    </row>
    <row r="33">
      <c r="B33" s="3" t="n"/>
      <c r="G33" s="5" t="n"/>
      <c r="H33" s="5" t="n"/>
      <c r="I33" s="5">
        <f>IF(G33="","",G33-H33)</f>
        <v/>
      </c>
      <c r="L33" s="3">
        <f>IF(B33="","",WORKDAY(B33,K33))</f>
        <v/>
      </c>
      <c r="M33" s="3" t="n"/>
      <c r="N33">
        <f>IF(B33="","",IF(M33&lt;&gt;"",NETWORKDAYS(B33,M33)-1,NETWORKDAYS(B33,$B$2)-1))</f>
        <v/>
      </c>
      <c r="O33">
        <f>IF(B33="","",IF(M33&lt;&gt;"",IF(M33&lt;=L33,"Met","Missed"),IF($B$2&gt;L33,"Overdue",IF(L33-$B$2&lt;=1,"Due soon","On track"))))</f>
        <v/>
      </c>
    </row>
    <row r="34">
      <c r="B34" s="3" t="n"/>
      <c r="G34" s="5" t="n"/>
      <c r="H34" s="5" t="n"/>
      <c r="I34" s="5">
        <f>IF(G34="","",G34-H34)</f>
        <v/>
      </c>
      <c r="L34" s="3">
        <f>IF(B34="","",WORKDAY(B34,K34))</f>
        <v/>
      </c>
      <c r="M34" s="3" t="n"/>
      <c r="N34">
        <f>IF(B34="","",IF(M34&lt;&gt;"",NETWORKDAYS(B34,M34)-1,NETWORKDAYS(B34,$B$2)-1))</f>
        <v/>
      </c>
      <c r="O34">
        <f>IF(B34="","",IF(M34&lt;&gt;"",IF(M34&lt;=L34,"Met","Missed"),IF($B$2&gt;L34,"Overdue",IF(L34-$B$2&lt;=1,"Due soon","On track"))))</f>
        <v/>
      </c>
    </row>
    <row r="35">
      <c r="B35" s="3" t="n"/>
      <c r="G35" s="5" t="n"/>
      <c r="H35" s="5" t="n"/>
      <c r="I35" s="5">
        <f>IF(G35="","",G35-H35)</f>
        <v/>
      </c>
      <c r="L35" s="3">
        <f>IF(B35="","",WORKDAY(B35,K35))</f>
        <v/>
      </c>
      <c r="M35" s="3" t="n"/>
      <c r="N35">
        <f>IF(B35="","",IF(M35&lt;&gt;"",NETWORKDAYS(B35,M35)-1,NETWORKDAYS(B35,$B$2)-1))</f>
        <v/>
      </c>
      <c r="O35">
        <f>IF(B35="","",IF(M35&lt;&gt;"",IF(M35&lt;=L35,"Met","Missed"),IF($B$2&gt;L35,"Overdue",IF(L35-$B$2&lt;=1,"Due soon","On track"))))</f>
        <v/>
      </c>
    </row>
    <row r="36">
      <c r="B36" s="3" t="n"/>
      <c r="G36" s="5" t="n"/>
      <c r="H36" s="5" t="n"/>
      <c r="I36" s="5">
        <f>IF(G36="","",G36-H36)</f>
        <v/>
      </c>
      <c r="L36" s="3">
        <f>IF(B36="","",WORKDAY(B36,K36))</f>
        <v/>
      </c>
      <c r="M36" s="3" t="n"/>
      <c r="N36">
        <f>IF(B36="","",IF(M36&lt;&gt;"",NETWORKDAYS(B36,M36)-1,NETWORKDAYS(B36,$B$2)-1))</f>
        <v/>
      </c>
      <c r="O36">
        <f>IF(B36="","",IF(M36&lt;&gt;"",IF(M36&lt;=L36,"Met","Missed"),IF($B$2&gt;L36,"Overdue",IF(L36-$B$2&lt;=1,"Due soon","On track"))))</f>
        <v/>
      </c>
    </row>
    <row r="37">
      <c r="B37" s="3" t="n"/>
      <c r="G37" s="5" t="n"/>
      <c r="H37" s="5" t="n"/>
      <c r="I37" s="5">
        <f>IF(G37="","",G37-H37)</f>
        <v/>
      </c>
      <c r="L37" s="3">
        <f>IF(B37="","",WORKDAY(B37,K37))</f>
        <v/>
      </c>
      <c r="M37" s="3" t="n"/>
      <c r="N37">
        <f>IF(B37="","",IF(M37&lt;&gt;"",NETWORKDAYS(B37,M37)-1,NETWORKDAYS(B37,$B$2)-1))</f>
        <v/>
      </c>
      <c r="O37">
        <f>IF(B37="","",IF(M37&lt;&gt;"",IF(M37&lt;=L37,"Met","Missed"),IF($B$2&gt;L37,"Overdue",IF(L37-$B$2&lt;=1,"Due soon","On track"))))</f>
        <v/>
      </c>
    </row>
    <row r="38">
      <c r="B38" s="3" t="n"/>
      <c r="G38" s="5" t="n"/>
      <c r="H38" s="5" t="n"/>
      <c r="I38" s="5">
        <f>IF(G38="","",G38-H38)</f>
        <v/>
      </c>
      <c r="L38" s="3">
        <f>IF(B38="","",WORKDAY(B38,K38))</f>
        <v/>
      </c>
      <c r="M38" s="3" t="n"/>
      <c r="N38">
        <f>IF(B38="","",IF(M38&lt;&gt;"",NETWORKDAYS(B38,M38)-1,NETWORKDAYS(B38,$B$2)-1))</f>
        <v/>
      </c>
      <c r="O38">
        <f>IF(B38="","",IF(M38&lt;&gt;"",IF(M38&lt;=L38,"Met","Missed"),IF($B$2&gt;L38,"Overdue",IF(L38-$B$2&lt;=1,"Due soon","On track"))))</f>
        <v/>
      </c>
    </row>
    <row r="39">
      <c r="B39" s="3" t="n"/>
      <c r="G39" s="5" t="n"/>
      <c r="H39" s="5" t="n"/>
      <c r="I39" s="5">
        <f>IF(G39="","",G39-H39)</f>
        <v/>
      </c>
      <c r="L39" s="3">
        <f>IF(B39="","",WORKDAY(B39,K39))</f>
        <v/>
      </c>
      <c r="M39" s="3" t="n"/>
      <c r="N39">
        <f>IF(B39="","",IF(M39&lt;&gt;"",NETWORKDAYS(B39,M39)-1,NETWORKDAYS(B39,$B$2)-1))</f>
        <v/>
      </c>
      <c r="O39">
        <f>IF(B39="","",IF(M39&lt;&gt;"",IF(M39&lt;=L39,"Met","Missed"),IF($B$2&gt;L39,"Overdue",IF(L39-$B$2&lt;=1,"Due soon","On track"))))</f>
        <v/>
      </c>
    </row>
    <row r="40">
      <c r="B40" s="3" t="n"/>
      <c r="G40" s="5" t="n"/>
      <c r="H40" s="5" t="n"/>
      <c r="I40" s="5">
        <f>IF(G40="","",G40-H40)</f>
        <v/>
      </c>
      <c r="L40" s="3">
        <f>IF(B40="","",WORKDAY(B40,K40))</f>
        <v/>
      </c>
      <c r="M40" s="3" t="n"/>
      <c r="N40">
        <f>IF(B40="","",IF(M40&lt;&gt;"",NETWORKDAYS(B40,M40)-1,NETWORKDAYS(B40,$B$2)-1))</f>
        <v/>
      </c>
      <c r="O40">
        <f>IF(B40="","",IF(M40&lt;&gt;"",IF(M40&lt;=L40,"Met","Missed"),IF($B$2&gt;L40,"Overdue",IF(L40-$B$2&lt;=1,"Due soon","On track"))))</f>
        <v/>
      </c>
    </row>
    <row r="41">
      <c r="B41" s="3" t="n"/>
      <c r="G41" s="5" t="n"/>
      <c r="H41" s="5" t="n"/>
      <c r="I41" s="5">
        <f>IF(G41="","",G41-H41)</f>
        <v/>
      </c>
      <c r="L41" s="3">
        <f>IF(B41="","",WORKDAY(B41,K41))</f>
        <v/>
      </c>
      <c r="M41" s="3" t="n"/>
      <c r="N41">
        <f>IF(B41="","",IF(M41&lt;&gt;"",NETWORKDAYS(B41,M41)-1,NETWORKDAYS(B41,$B$2)-1))</f>
        <v/>
      </c>
      <c r="O41">
        <f>IF(B41="","",IF(M41&lt;&gt;"",IF(M41&lt;=L41,"Met","Missed"),IF($B$2&gt;L41,"Overdue",IF(L41-$B$2&lt;=1,"Due soon","On track"))))</f>
        <v/>
      </c>
    </row>
    <row r="42">
      <c r="B42" s="3" t="n"/>
      <c r="G42" s="5" t="n"/>
      <c r="H42" s="5" t="n"/>
      <c r="I42" s="5">
        <f>IF(G42="","",G42-H42)</f>
        <v/>
      </c>
      <c r="L42" s="3">
        <f>IF(B42="","",WORKDAY(B42,K42))</f>
        <v/>
      </c>
      <c r="M42" s="3" t="n"/>
      <c r="N42">
        <f>IF(B42="","",IF(M42&lt;&gt;"",NETWORKDAYS(B42,M42)-1,NETWORKDAYS(B42,$B$2)-1))</f>
        <v/>
      </c>
      <c r="O42">
        <f>IF(B42="","",IF(M42&lt;&gt;"",IF(M42&lt;=L42,"Met","Missed"),IF($B$2&gt;L42,"Overdue",IF(L42-$B$2&lt;=1,"Due soon","On track"))))</f>
        <v/>
      </c>
    </row>
    <row r="43">
      <c r="B43" s="3" t="n"/>
      <c r="G43" s="5" t="n"/>
      <c r="H43" s="5" t="n"/>
      <c r="I43" s="5">
        <f>IF(G43="","",G43-H43)</f>
        <v/>
      </c>
      <c r="L43" s="3">
        <f>IF(B43="","",WORKDAY(B43,K43))</f>
        <v/>
      </c>
      <c r="M43" s="3" t="n"/>
      <c r="N43">
        <f>IF(B43="","",IF(M43&lt;&gt;"",NETWORKDAYS(B43,M43)-1,NETWORKDAYS(B43,$B$2)-1))</f>
        <v/>
      </c>
      <c r="O43">
        <f>IF(B43="","",IF(M43&lt;&gt;"",IF(M43&lt;=L43,"Met","Missed"),IF($B$2&gt;L43,"Overdue",IF(L43-$B$2&lt;=1,"Due soon","On track"))))</f>
        <v/>
      </c>
    </row>
    <row r="44">
      <c r="B44" s="3" t="n"/>
      <c r="G44" s="5" t="n"/>
      <c r="H44" s="5" t="n"/>
      <c r="I44" s="5">
        <f>IF(G44="","",G44-H44)</f>
        <v/>
      </c>
      <c r="L44" s="3">
        <f>IF(B44="","",WORKDAY(B44,K44))</f>
        <v/>
      </c>
      <c r="M44" s="3" t="n"/>
      <c r="N44">
        <f>IF(B44="","",IF(M44&lt;&gt;"",NETWORKDAYS(B44,M44)-1,NETWORKDAYS(B44,$B$2)-1))</f>
        <v/>
      </c>
      <c r="O44">
        <f>IF(B44="","",IF(M44&lt;&gt;"",IF(M44&lt;=L44,"Met","Missed"),IF($B$2&gt;L44,"Overdue",IF(L44-$B$2&lt;=1,"Due soon","On track"))))</f>
        <v/>
      </c>
    </row>
    <row r="45">
      <c r="B45" s="3" t="n"/>
      <c r="G45" s="5" t="n"/>
      <c r="H45" s="5" t="n"/>
      <c r="I45" s="5">
        <f>IF(G45="","",G45-H45)</f>
        <v/>
      </c>
      <c r="L45" s="3">
        <f>IF(B45="","",WORKDAY(B45,K45))</f>
        <v/>
      </c>
      <c r="M45" s="3" t="n"/>
      <c r="N45">
        <f>IF(B45="","",IF(M45&lt;&gt;"",NETWORKDAYS(B45,M45)-1,NETWORKDAYS(B45,$B$2)-1))</f>
        <v/>
      </c>
      <c r="O45">
        <f>IF(B45="","",IF(M45&lt;&gt;"",IF(M45&lt;=L45,"Met","Missed"),IF($B$2&gt;L45,"Overdue",IF(L45-$B$2&lt;=1,"Due soon","On track"))))</f>
        <v/>
      </c>
    </row>
    <row r="46">
      <c r="B46" s="3" t="n"/>
      <c r="G46" s="5" t="n"/>
      <c r="H46" s="5" t="n"/>
      <c r="I46" s="5">
        <f>IF(G46="","",G46-H46)</f>
        <v/>
      </c>
      <c r="L46" s="3">
        <f>IF(B46="","",WORKDAY(B46,K46))</f>
        <v/>
      </c>
      <c r="M46" s="3" t="n"/>
      <c r="N46">
        <f>IF(B46="","",IF(M46&lt;&gt;"",NETWORKDAYS(B46,M46)-1,NETWORKDAYS(B46,$B$2)-1))</f>
        <v/>
      </c>
      <c r="O46">
        <f>IF(B46="","",IF(M46&lt;&gt;"",IF(M46&lt;=L46,"Met","Missed"),IF($B$2&gt;L46,"Overdue",IF(L46-$B$2&lt;=1,"Due soon","On track"))))</f>
        <v/>
      </c>
    </row>
    <row r="47">
      <c r="B47" s="3" t="n"/>
      <c r="G47" s="5" t="n"/>
      <c r="H47" s="5" t="n"/>
      <c r="I47" s="5">
        <f>IF(G47="","",G47-H47)</f>
        <v/>
      </c>
      <c r="L47" s="3">
        <f>IF(B47="","",WORKDAY(B47,K47))</f>
        <v/>
      </c>
      <c r="M47" s="3" t="n"/>
      <c r="N47">
        <f>IF(B47="","",IF(M47&lt;&gt;"",NETWORKDAYS(B47,M47)-1,NETWORKDAYS(B47,$B$2)-1))</f>
        <v/>
      </c>
      <c r="O47">
        <f>IF(B47="","",IF(M47&lt;&gt;"",IF(M47&lt;=L47,"Met","Missed"),IF($B$2&gt;L47,"Overdue",IF(L47-$B$2&lt;=1,"Due soon","On track"))))</f>
        <v/>
      </c>
    </row>
    <row r="48">
      <c r="B48" s="3" t="n"/>
      <c r="G48" s="5" t="n"/>
      <c r="H48" s="5" t="n"/>
      <c r="I48" s="5">
        <f>IF(G48="","",G48-H48)</f>
        <v/>
      </c>
      <c r="L48" s="3">
        <f>IF(B48="","",WORKDAY(B48,K48))</f>
        <v/>
      </c>
      <c r="M48" s="3" t="n"/>
      <c r="N48">
        <f>IF(B48="","",IF(M48&lt;&gt;"",NETWORKDAYS(B48,M48)-1,NETWORKDAYS(B48,$B$2)-1))</f>
        <v/>
      </c>
      <c r="O48">
        <f>IF(B48="","",IF(M48&lt;&gt;"",IF(M48&lt;=L48,"Met","Missed"),IF($B$2&gt;L48,"Overdue",IF(L48-$B$2&lt;=1,"Due soon","On track"))))</f>
        <v/>
      </c>
    </row>
    <row r="49">
      <c r="B49" s="3" t="n"/>
      <c r="G49" s="5" t="n"/>
      <c r="H49" s="5" t="n"/>
      <c r="I49" s="5">
        <f>IF(G49="","",G49-H49)</f>
        <v/>
      </c>
      <c r="L49" s="3">
        <f>IF(B49="","",WORKDAY(B49,K49))</f>
        <v/>
      </c>
      <c r="M49" s="3" t="n"/>
      <c r="N49">
        <f>IF(B49="","",IF(M49&lt;&gt;"",NETWORKDAYS(B49,M49)-1,NETWORKDAYS(B49,$B$2)-1))</f>
        <v/>
      </c>
      <c r="O49">
        <f>IF(B49="","",IF(M49&lt;&gt;"",IF(M49&lt;=L49,"Met","Missed"),IF($B$2&gt;L49,"Overdue",IF(L49-$B$2&lt;=1,"Due soon","On track"))))</f>
        <v/>
      </c>
    </row>
    <row r="50">
      <c r="B50" s="3" t="n"/>
      <c r="G50" s="5" t="n"/>
      <c r="H50" s="5" t="n"/>
      <c r="I50" s="5">
        <f>IF(G50="","",G50-H50)</f>
        <v/>
      </c>
      <c r="L50" s="3">
        <f>IF(B50="","",WORKDAY(B50,K50))</f>
        <v/>
      </c>
      <c r="M50" s="3" t="n"/>
      <c r="N50">
        <f>IF(B50="","",IF(M50&lt;&gt;"",NETWORKDAYS(B50,M50)-1,NETWORKDAYS(B50,$B$2)-1))</f>
        <v/>
      </c>
      <c r="O50">
        <f>IF(B50="","",IF(M50&lt;&gt;"",IF(M50&lt;=L50,"Met","Missed"),IF($B$2&gt;L50,"Overdue",IF(L50-$B$2&lt;=1,"Due soon","On track"))))</f>
        <v/>
      </c>
    </row>
    <row r="51">
      <c r="B51" s="3" t="n"/>
      <c r="G51" s="5" t="n"/>
      <c r="H51" s="5" t="n"/>
      <c r="I51" s="5">
        <f>IF(G51="","",G51-H51)</f>
        <v/>
      </c>
      <c r="L51" s="3">
        <f>IF(B51="","",WORKDAY(B51,K51))</f>
        <v/>
      </c>
      <c r="M51" s="3" t="n"/>
      <c r="N51">
        <f>IF(B51="","",IF(M51&lt;&gt;"",NETWORKDAYS(B51,M51)-1,NETWORKDAYS(B51,$B$2)-1))</f>
        <v/>
      </c>
      <c r="O51">
        <f>IF(B51="","",IF(M51&lt;&gt;"",IF(M51&lt;=L51,"Met","Missed"),IF($B$2&gt;L51,"Overdue",IF(L51-$B$2&lt;=1,"Due soon","On track"))))</f>
        <v/>
      </c>
    </row>
    <row r="52">
      <c r="B52" s="3" t="n"/>
      <c r="G52" s="5" t="n"/>
      <c r="H52" s="5" t="n"/>
      <c r="I52" s="5">
        <f>IF(G52="","",G52-H52)</f>
        <v/>
      </c>
      <c r="L52" s="3">
        <f>IF(B52="","",WORKDAY(B52,K52))</f>
        <v/>
      </c>
      <c r="M52" s="3" t="n"/>
      <c r="N52">
        <f>IF(B52="","",IF(M52&lt;&gt;"",NETWORKDAYS(B52,M52)-1,NETWORKDAYS(B52,$B$2)-1))</f>
        <v/>
      </c>
      <c r="O52">
        <f>IF(B52="","",IF(M52&lt;&gt;"",IF(M52&lt;=L52,"Met","Missed"),IF($B$2&gt;L52,"Overdue",IF(L52-$B$2&lt;=1,"Due soon","On track"))))</f>
        <v/>
      </c>
    </row>
    <row r="53">
      <c r="B53" s="3" t="n"/>
      <c r="G53" s="5" t="n"/>
      <c r="H53" s="5" t="n"/>
      <c r="I53" s="5">
        <f>IF(G53="","",G53-H53)</f>
        <v/>
      </c>
      <c r="L53" s="3">
        <f>IF(B53="","",WORKDAY(B53,K53))</f>
        <v/>
      </c>
      <c r="M53" s="3" t="n"/>
      <c r="N53">
        <f>IF(B53="","",IF(M53&lt;&gt;"",NETWORKDAYS(B53,M53)-1,NETWORKDAYS(B53,$B$2)-1))</f>
        <v/>
      </c>
      <c r="O53">
        <f>IF(B53="","",IF(M53&lt;&gt;"",IF(M53&lt;=L53,"Met","Missed"),IF($B$2&gt;L53,"Overdue",IF(L53-$B$2&lt;=1,"Due soon","On track"))))</f>
        <v/>
      </c>
    </row>
    <row r="54">
      <c r="B54" s="3" t="n"/>
      <c r="G54" s="5" t="n"/>
      <c r="H54" s="5" t="n"/>
      <c r="I54" s="5">
        <f>IF(G54="","",G54-H54)</f>
        <v/>
      </c>
      <c r="L54" s="3">
        <f>IF(B54="","",WORKDAY(B54,K54))</f>
        <v/>
      </c>
      <c r="M54" s="3" t="n"/>
      <c r="N54">
        <f>IF(B54="","",IF(M54&lt;&gt;"",NETWORKDAYS(B54,M54)-1,NETWORKDAYS(B54,$B$2)-1))</f>
        <v/>
      </c>
      <c r="O54">
        <f>IF(B54="","",IF(M54&lt;&gt;"",IF(M54&lt;=L54,"Met","Missed"),IF($B$2&gt;L54,"Overdue",IF(L54-$B$2&lt;=1,"Due soon","On track"))))</f>
        <v/>
      </c>
    </row>
    <row r="55">
      <c r="B55" s="3" t="n"/>
      <c r="G55" s="5" t="n"/>
      <c r="H55" s="5" t="n"/>
      <c r="I55" s="5">
        <f>IF(G55="","",G55-H55)</f>
        <v/>
      </c>
      <c r="L55" s="3">
        <f>IF(B55="","",WORKDAY(B55,K55))</f>
        <v/>
      </c>
      <c r="M55" s="3" t="n"/>
      <c r="N55">
        <f>IF(B55="","",IF(M55&lt;&gt;"",NETWORKDAYS(B55,M55)-1,NETWORKDAYS(B55,$B$2)-1))</f>
        <v/>
      </c>
      <c r="O55">
        <f>IF(B55="","",IF(M55&lt;&gt;"",IF(M55&lt;=L55,"Met","Missed"),IF($B$2&gt;L55,"Overdue",IF(L55-$B$2&lt;=1,"Due soon","On track"))))</f>
        <v/>
      </c>
    </row>
    <row r="56">
      <c r="B56" s="3" t="n"/>
      <c r="G56" s="5" t="n"/>
      <c r="H56" s="5" t="n"/>
      <c r="I56" s="5">
        <f>IF(G56="","",G56-H56)</f>
        <v/>
      </c>
      <c r="L56" s="3">
        <f>IF(B56="","",WORKDAY(B56,K56))</f>
        <v/>
      </c>
      <c r="M56" s="3" t="n"/>
      <c r="N56">
        <f>IF(B56="","",IF(M56&lt;&gt;"",NETWORKDAYS(B56,M56)-1,NETWORKDAYS(B56,$B$2)-1))</f>
        <v/>
      </c>
      <c r="O56">
        <f>IF(B56="","",IF(M56&lt;&gt;"",IF(M56&lt;=L56,"Met","Missed"),IF($B$2&gt;L56,"Overdue",IF(L56-$B$2&lt;=1,"Due soon","On track"))))</f>
        <v/>
      </c>
    </row>
    <row r="57">
      <c r="B57" s="3" t="n"/>
      <c r="G57" s="5" t="n"/>
      <c r="H57" s="5" t="n"/>
      <c r="I57" s="5">
        <f>IF(G57="","",G57-H57)</f>
        <v/>
      </c>
      <c r="L57" s="3">
        <f>IF(B57="","",WORKDAY(B57,K57))</f>
        <v/>
      </c>
      <c r="M57" s="3" t="n"/>
      <c r="N57">
        <f>IF(B57="","",IF(M57&lt;&gt;"",NETWORKDAYS(B57,M57)-1,NETWORKDAYS(B57,$B$2)-1))</f>
        <v/>
      </c>
      <c r="O57">
        <f>IF(B57="","",IF(M57&lt;&gt;"",IF(M57&lt;=L57,"Met","Missed"),IF($B$2&gt;L57,"Overdue",IF(L57-$B$2&lt;=1,"Due soon","On track"))))</f>
        <v/>
      </c>
    </row>
    <row r="58">
      <c r="B58" s="3" t="n"/>
      <c r="G58" s="5" t="n"/>
      <c r="H58" s="5" t="n"/>
      <c r="I58" s="5">
        <f>IF(G58="","",G58-H58)</f>
        <v/>
      </c>
      <c r="L58" s="3">
        <f>IF(B58="","",WORKDAY(B58,K58))</f>
        <v/>
      </c>
      <c r="M58" s="3" t="n"/>
      <c r="N58">
        <f>IF(B58="","",IF(M58&lt;&gt;"",NETWORKDAYS(B58,M58)-1,NETWORKDAYS(B58,$B$2)-1))</f>
        <v/>
      </c>
      <c r="O58">
        <f>IF(B58="","",IF(M58&lt;&gt;"",IF(M58&lt;=L58,"Met","Missed"),IF($B$2&gt;L58,"Overdue",IF(L58-$B$2&lt;=1,"Due soon","On track"))))</f>
        <v/>
      </c>
    </row>
    <row r="59">
      <c r="B59" s="3" t="n"/>
      <c r="G59" s="5" t="n"/>
      <c r="H59" s="5" t="n"/>
      <c r="I59" s="5">
        <f>IF(G59="","",G59-H59)</f>
        <v/>
      </c>
      <c r="L59" s="3">
        <f>IF(B59="","",WORKDAY(B59,K59))</f>
        <v/>
      </c>
      <c r="M59" s="3" t="n"/>
      <c r="N59">
        <f>IF(B59="","",IF(M59&lt;&gt;"",NETWORKDAYS(B59,M59)-1,NETWORKDAYS(B59,$B$2)-1))</f>
        <v/>
      </c>
      <c r="O59">
        <f>IF(B59="","",IF(M59&lt;&gt;"",IF(M59&lt;=L59,"Met","Missed"),IF($B$2&gt;L59,"Overdue",IF(L59-$B$2&lt;=1,"Due soon","On track"))))</f>
        <v/>
      </c>
    </row>
    <row r="60">
      <c r="B60" s="3" t="n"/>
      <c r="G60" s="5" t="n"/>
      <c r="H60" s="5" t="n"/>
      <c r="I60" s="5">
        <f>IF(G60="","",G60-H60)</f>
        <v/>
      </c>
      <c r="L60" s="3">
        <f>IF(B60="","",WORKDAY(B60,K60))</f>
        <v/>
      </c>
      <c r="M60" s="3" t="n"/>
      <c r="N60">
        <f>IF(B60="","",IF(M60&lt;&gt;"",NETWORKDAYS(B60,M60)-1,NETWORKDAYS(B60,$B$2)-1))</f>
        <v/>
      </c>
      <c r="O60">
        <f>IF(B60="","",IF(M60&lt;&gt;"",IF(M60&lt;=L60,"Met","Missed"),IF($B$2&gt;L60,"Overdue",IF(L60-$B$2&lt;=1,"Due soon","On track"))))</f>
        <v/>
      </c>
    </row>
    <row r="61">
      <c r="B61" s="3" t="n"/>
      <c r="G61" s="5" t="n"/>
      <c r="H61" s="5" t="n"/>
      <c r="I61" s="5">
        <f>IF(G61="","",G61-H61)</f>
        <v/>
      </c>
      <c r="L61" s="3">
        <f>IF(B61="","",WORKDAY(B61,K61))</f>
        <v/>
      </c>
      <c r="M61" s="3" t="n"/>
      <c r="N61">
        <f>IF(B61="","",IF(M61&lt;&gt;"",NETWORKDAYS(B61,M61)-1,NETWORKDAYS(B61,$B$2)-1))</f>
        <v/>
      </c>
      <c r="O61">
        <f>IF(B61="","",IF(M61&lt;&gt;"",IF(M61&lt;=L61,"Met","Missed"),IF($B$2&gt;L61,"Overdue",IF(L61-$B$2&lt;=1,"Due soon","On track"))))</f>
        <v/>
      </c>
    </row>
    <row r="62">
      <c r="B62" s="3" t="n"/>
      <c r="G62" s="5" t="n"/>
      <c r="H62" s="5" t="n"/>
      <c r="I62" s="5">
        <f>IF(G62="","",G62-H62)</f>
        <v/>
      </c>
      <c r="L62" s="3">
        <f>IF(B62="","",WORKDAY(B62,K62))</f>
        <v/>
      </c>
      <c r="M62" s="3" t="n"/>
      <c r="N62">
        <f>IF(B62="","",IF(M62&lt;&gt;"",NETWORKDAYS(B62,M62)-1,NETWORKDAYS(B62,$B$2)-1))</f>
        <v/>
      </c>
      <c r="O62">
        <f>IF(B62="","",IF(M62&lt;&gt;"",IF(M62&lt;=L62,"Met","Missed"),IF($B$2&gt;L62,"Overdue",IF(L62-$B$2&lt;=1,"Due soon","On track"))))</f>
        <v/>
      </c>
    </row>
    <row r="63">
      <c r="B63" s="3" t="n"/>
      <c r="G63" s="5" t="n"/>
      <c r="H63" s="5" t="n"/>
      <c r="I63" s="5">
        <f>IF(G63="","",G63-H63)</f>
        <v/>
      </c>
      <c r="L63" s="3">
        <f>IF(B63="","",WORKDAY(B63,K63))</f>
        <v/>
      </c>
      <c r="M63" s="3" t="n"/>
      <c r="N63">
        <f>IF(B63="","",IF(M63&lt;&gt;"",NETWORKDAYS(B63,M63)-1,NETWORKDAYS(B63,$B$2)-1))</f>
        <v/>
      </c>
      <c r="O63">
        <f>IF(B63="","",IF(M63&lt;&gt;"",IF(M63&lt;=L63,"Met","Missed"),IF($B$2&gt;L63,"Overdue",IF(L63-$B$2&lt;=1,"Due soon","On track"))))</f>
        <v/>
      </c>
    </row>
    <row r="64">
      <c r="B64" s="3" t="n"/>
      <c r="G64" s="5" t="n"/>
      <c r="H64" s="5" t="n"/>
      <c r="I64" s="5">
        <f>IF(G64="","",G64-H64)</f>
        <v/>
      </c>
      <c r="L64" s="3">
        <f>IF(B64="","",WORKDAY(B64,K64))</f>
        <v/>
      </c>
      <c r="M64" s="3" t="n"/>
      <c r="N64">
        <f>IF(B64="","",IF(M64&lt;&gt;"",NETWORKDAYS(B64,M64)-1,NETWORKDAYS(B64,$B$2)-1))</f>
        <v/>
      </c>
      <c r="O64">
        <f>IF(B64="","",IF(M64&lt;&gt;"",IF(M64&lt;=L64,"Met","Missed"),IF($B$2&gt;L64,"Overdue",IF(L64-$B$2&lt;=1,"Due soon","On track"))))</f>
        <v/>
      </c>
    </row>
    <row r="65">
      <c r="B65" s="3" t="n"/>
      <c r="G65" s="5" t="n"/>
      <c r="H65" s="5" t="n"/>
      <c r="I65" s="5">
        <f>IF(G65="","",G65-H65)</f>
        <v/>
      </c>
      <c r="L65" s="3">
        <f>IF(B65="","",WORKDAY(B65,K65))</f>
        <v/>
      </c>
      <c r="M65" s="3" t="n"/>
      <c r="N65">
        <f>IF(B65="","",IF(M65&lt;&gt;"",NETWORKDAYS(B65,M65)-1,NETWORKDAYS(B65,$B$2)-1))</f>
        <v/>
      </c>
      <c r="O65">
        <f>IF(B65="","",IF(M65&lt;&gt;"",IF(M65&lt;=L65,"Met","Missed"),IF($B$2&gt;L65,"Overdue",IF(L65-$B$2&lt;=1,"Due soon","On track"))))</f>
        <v/>
      </c>
    </row>
    <row r="66">
      <c r="B66" s="3" t="n"/>
      <c r="G66" s="5" t="n"/>
      <c r="H66" s="5" t="n"/>
      <c r="I66" s="5">
        <f>IF(G66="","",G66-H66)</f>
        <v/>
      </c>
      <c r="L66" s="3">
        <f>IF(B66="","",WORKDAY(B66,K66))</f>
        <v/>
      </c>
      <c r="M66" s="3" t="n"/>
      <c r="N66">
        <f>IF(B66="","",IF(M66&lt;&gt;"",NETWORKDAYS(B66,M66)-1,NETWORKDAYS(B66,$B$2)-1))</f>
        <v/>
      </c>
      <c r="O66">
        <f>IF(B66="","",IF(M66&lt;&gt;"",IF(M66&lt;=L66,"Met","Missed"),IF($B$2&gt;L66,"Overdue",IF(L66-$B$2&lt;=1,"Due soon","On track"))))</f>
        <v/>
      </c>
    </row>
    <row r="67">
      <c r="B67" s="3" t="n"/>
      <c r="G67" s="5" t="n"/>
      <c r="H67" s="5" t="n"/>
      <c r="I67" s="5">
        <f>IF(G67="","",G67-H67)</f>
        <v/>
      </c>
      <c r="L67" s="3">
        <f>IF(B67="","",WORKDAY(B67,K67))</f>
        <v/>
      </c>
      <c r="M67" s="3" t="n"/>
      <c r="N67">
        <f>IF(B67="","",IF(M67&lt;&gt;"",NETWORKDAYS(B67,M67)-1,NETWORKDAYS(B67,$B$2)-1))</f>
        <v/>
      </c>
      <c r="O67">
        <f>IF(B67="","",IF(M67&lt;&gt;"",IF(M67&lt;=L67,"Met","Missed"),IF($B$2&gt;L67,"Overdue",IF(L67-$B$2&lt;=1,"Due soon","On track"))))</f>
        <v/>
      </c>
    </row>
    <row r="68">
      <c r="B68" s="3" t="n"/>
      <c r="G68" s="5" t="n"/>
      <c r="H68" s="5" t="n"/>
      <c r="I68" s="5">
        <f>IF(G68="","",G68-H68)</f>
        <v/>
      </c>
      <c r="L68" s="3">
        <f>IF(B68="","",WORKDAY(B68,K68))</f>
        <v/>
      </c>
      <c r="M68" s="3" t="n"/>
      <c r="N68">
        <f>IF(B68="","",IF(M68&lt;&gt;"",NETWORKDAYS(B68,M68)-1,NETWORKDAYS(B68,$B$2)-1))</f>
        <v/>
      </c>
      <c r="O68">
        <f>IF(B68="","",IF(M68&lt;&gt;"",IF(M68&lt;=L68,"Met","Missed"),IF($B$2&gt;L68,"Overdue",IF(L68-$B$2&lt;=1,"Due soon","On track"))))</f>
        <v/>
      </c>
    </row>
    <row r="69">
      <c r="B69" s="3" t="n"/>
      <c r="G69" s="5" t="n"/>
      <c r="H69" s="5" t="n"/>
      <c r="I69" s="5">
        <f>IF(G69="","",G69-H69)</f>
        <v/>
      </c>
      <c r="L69" s="3">
        <f>IF(B69="","",WORKDAY(B69,K69))</f>
        <v/>
      </c>
      <c r="M69" s="3" t="n"/>
      <c r="N69">
        <f>IF(B69="","",IF(M69&lt;&gt;"",NETWORKDAYS(B69,M69)-1,NETWORKDAYS(B69,$B$2)-1))</f>
        <v/>
      </c>
      <c r="O69">
        <f>IF(B69="","",IF(M69&lt;&gt;"",IF(M69&lt;=L69,"Met","Missed"),IF($B$2&gt;L69,"Overdue",IF(L69-$B$2&lt;=1,"Due soon","On track"))))</f>
        <v/>
      </c>
    </row>
    <row r="70">
      <c r="B70" s="3" t="n"/>
      <c r="G70" s="5" t="n"/>
      <c r="H70" s="5" t="n"/>
      <c r="I70" s="5">
        <f>IF(G70="","",G70-H70)</f>
        <v/>
      </c>
      <c r="L70" s="3">
        <f>IF(B70="","",WORKDAY(B70,K70))</f>
        <v/>
      </c>
      <c r="M70" s="3" t="n"/>
      <c r="N70">
        <f>IF(B70="","",IF(M70&lt;&gt;"",NETWORKDAYS(B70,M70)-1,NETWORKDAYS(B70,$B$2)-1))</f>
        <v/>
      </c>
      <c r="O70">
        <f>IF(B70="","",IF(M70&lt;&gt;"",IF(M70&lt;=L70,"Met","Missed"),IF($B$2&gt;L70,"Overdue",IF(L70-$B$2&lt;=1,"Due soon","On track"))))</f>
        <v/>
      </c>
    </row>
    <row r="71">
      <c r="B71" s="3" t="n"/>
      <c r="G71" s="5" t="n"/>
      <c r="H71" s="5" t="n"/>
      <c r="I71" s="5">
        <f>IF(G71="","",G71-H71)</f>
        <v/>
      </c>
      <c r="L71" s="3">
        <f>IF(B71="","",WORKDAY(B71,K71))</f>
        <v/>
      </c>
      <c r="M71" s="3" t="n"/>
      <c r="N71">
        <f>IF(B71="","",IF(M71&lt;&gt;"",NETWORKDAYS(B71,M71)-1,NETWORKDAYS(B71,$B$2)-1))</f>
        <v/>
      </c>
      <c r="O71">
        <f>IF(B71="","",IF(M71&lt;&gt;"",IF(M71&lt;=L71,"Met","Missed"),IF($B$2&gt;L71,"Overdue",IF(L71-$B$2&lt;=1,"Due soon","On track"))))</f>
        <v/>
      </c>
    </row>
    <row r="72">
      <c r="B72" s="3" t="n"/>
      <c r="G72" s="5" t="n"/>
      <c r="H72" s="5" t="n"/>
      <c r="I72" s="5">
        <f>IF(G72="","",G72-H72)</f>
        <v/>
      </c>
      <c r="L72" s="3">
        <f>IF(B72="","",WORKDAY(B72,K72))</f>
        <v/>
      </c>
      <c r="M72" s="3" t="n"/>
      <c r="N72">
        <f>IF(B72="","",IF(M72&lt;&gt;"",NETWORKDAYS(B72,M72)-1,NETWORKDAYS(B72,$B$2)-1))</f>
        <v/>
      </c>
      <c r="O72">
        <f>IF(B72="","",IF(M72&lt;&gt;"",IF(M72&lt;=L72,"Met","Missed"),IF($B$2&gt;L72,"Overdue",IF(L72-$B$2&lt;=1,"Due soon","On track"))))</f>
        <v/>
      </c>
    </row>
    <row r="73">
      <c r="B73" s="3" t="n"/>
      <c r="G73" s="5" t="n"/>
      <c r="H73" s="5" t="n"/>
      <c r="I73" s="5">
        <f>IF(G73="","",G73-H73)</f>
        <v/>
      </c>
      <c r="L73" s="3">
        <f>IF(B73="","",WORKDAY(B73,K73))</f>
        <v/>
      </c>
      <c r="M73" s="3" t="n"/>
      <c r="N73">
        <f>IF(B73="","",IF(M73&lt;&gt;"",NETWORKDAYS(B73,M73)-1,NETWORKDAYS(B73,$B$2)-1))</f>
        <v/>
      </c>
      <c r="O73">
        <f>IF(B73="","",IF(M73&lt;&gt;"",IF(M73&lt;=L73,"Met","Missed"),IF($B$2&gt;L73,"Overdue",IF(L73-$B$2&lt;=1,"Due soon","On track"))))</f>
        <v/>
      </c>
    </row>
    <row r="74">
      <c r="B74" s="3" t="n"/>
      <c r="G74" s="5" t="n"/>
      <c r="H74" s="5" t="n"/>
      <c r="I74" s="5">
        <f>IF(G74="","",G74-H74)</f>
        <v/>
      </c>
      <c r="L74" s="3">
        <f>IF(B74="","",WORKDAY(B74,K74))</f>
        <v/>
      </c>
      <c r="M74" s="3" t="n"/>
      <c r="N74">
        <f>IF(B74="","",IF(M74&lt;&gt;"",NETWORKDAYS(B74,M74)-1,NETWORKDAYS(B74,$B$2)-1))</f>
        <v/>
      </c>
      <c r="O74">
        <f>IF(B74="","",IF(M74&lt;&gt;"",IF(M74&lt;=L74,"Met","Missed"),IF($B$2&gt;L74,"Overdue",IF(L74-$B$2&lt;=1,"Due soon","On track"))))</f>
        <v/>
      </c>
    </row>
    <row r="75">
      <c r="B75" s="3" t="n"/>
      <c r="G75" s="5" t="n"/>
      <c r="H75" s="5" t="n"/>
      <c r="I75" s="5">
        <f>IF(G75="","",G75-H75)</f>
        <v/>
      </c>
      <c r="L75" s="3">
        <f>IF(B75="","",WORKDAY(B75,K75))</f>
        <v/>
      </c>
      <c r="M75" s="3" t="n"/>
      <c r="N75">
        <f>IF(B75="","",IF(M75&lt;&gt;"",NETWORKDAYS(B75,M75)-1,NETWORKDAYS(B75,$B$2)-1))</f>
        <v/>
      </c>
      <c r="O75">
        <f>IF(B75="","",IF(M75&lt;&gt;"",IF(M75&lt;=L75,"Met","Missed"),IF($B$2&gt;L75,"Overdue",IF(L75-$B$2&lt;=1,"Due soon","On track"))))</f>
        <v/>
      </c>
    </row>
    <row r="76">
      <c r="B76" s="3" t="n"/>
      <c r="G76" s="5" t="n"/>
      <c r="H76" s="5" t="n"/>
      <c r="I76" s="5">
        <f>IF(G76="","",G76-H76)</f>
        <v/>
      </c>
      <c r="L76" s="3">
        <f>IF(B76="","",WORKDAY(B76,K76))</f>
        <v/>
      </c>
      <c r="M76" s="3" t="n"/>
      <c r="N76">
        <f>IF(B76="","",IF(M76&lt;&gt;"",NETWORKDAYS(B76,M76)-1,NETWORKDAYS(B76,$B$2)-1))</f>
        <v/>
      </c>
      <c r="O76">
        <f>IF(B76="","",IF(M76&lt;&gt;"",IF(M76&lt;=L76,"Met","Missed"),IF($B$2&gt;L76,"Overdue",IF(L76-$B$2&lt;=1,"Due soon","On track"))))</f>
        <v/>
      </c>
    </row>
    <row r="77">
      <c r="B77" s="3" t="n"/>
      <c r="G77" s="5" t="n"/>
      <c r="H77" s="5" t="n"/>
      <c r="I77" s="5">
        <f>IF(G77="","",G77-H77)</f>
        <v/>
      </c>
      <c r="L77" s="3">
        <f>IF(B77="","",WORKDAY(B77,K77))</f>
        <v/>
      </c>
      <c r="M77" s="3" t="n"/>
      <c r="N77">
        <f>IF(B77="","",IF(M77&lt;&gt;"",NETWORKDAYS(B77,M77)-1,NETWORKDAYS(B77,$B$2)-1))</f>
        <v/>
      </c>
      <c r="O77">
        <f>IF(B77="","",IF(M77&lt;&gt;"",IF(M77&lt;=L77,"Met","Missed"),IF($B$2&gt;L77,"Overdue",IF(L77-$B$2&lt;=1,"Due soon","On track"))))</f>
        <v/>
      </c>
    </row>
    <row r="78">
      <c r="B78" s="3" t="n"/>
      <c r="G78" s="5" t="n"/>
      <c r="H78" s="5" t="n"/>
      <c r="I78" s="5">
        <f>IF(G78="","",G78-H78)</f>
        <v/>
      </c>
      <c r="L78" s="3">
        <f>IF(B78="","",WORKDAY(B78,K78))</f>
        <v/>
      </c>
      <c r="M78" s="3" t="n"/>
      <c r="N78">
        <f>IF(B78="","",IF(M78&lt;&gt;"",NETWORKDAYS(B78,M78)-1,NETWORKDAYS(B78,$B$2)-1))</f>
        <v/>
      </c>
      <c r="O78">
        <f>IF(B78="","",IF(M78&lt;&gt;"",IF(M78&lt;=L78,"Met","Missed"),IF($B$2&gt;L78,"Overdue",IF(L78-$B$2&lt;=1,"Due soon","On track"))))</f>
        <v/>
      </c>
    </row>
    <row r="79">
      <c r="B79" s="3" t="n"/>
      <c r="G79" s="5" t="n"/>
      <c r="H79" s="5" t="n"/>
      <c r="I79" s="5">
        <f>IF(G79="","",G79-H79)</f>
        <v/>
      </c>
      <c r="L79" s="3">
        <f>IF(B79="","",WORKDAY(B79,K79))</f>
        <v/>
      </c>
      <c r="M79" s="3" t="n"/>
      <c r="N79">
        <f>IF(B79="","",IF(M79&lt;&gt;"",NETWORKDAYS(B79,M79)-1,NETWORKDAYS(B79,$B$2)-1))</f>
        <v/>
      </c>
      <c r="O79">
        <f>IF(B79="","",IF(M79&lt;&gt;"",IF(M79&lt;=L79,"Met","Missed"),IF($B$2&gt;L79,"Overdue",IF(L79-$B$2&lt;=1,"Due soon","On track"))))</f>
        <v/>
      </c>
    </row>
    <row r="80">
      <c r="B80" s="3" t="n"/>
      <c r="G80" s="5" t="n"/>
      <c r="H80" s="5" t="n"/>
      <c r="I80" s="5">
        <f>IF(G80="","",G80-H80)</f>
        <v/>
      </c>
      <c r="L80" s="3">
        <f>IF(B80="","",WORKDAY(B80,K80))</f>
        <v/>
      </c>
      <c r="M80" s="3" t="n"/>
      <c r="N80">
        <f>IF(B80="","",IF(M80&lt;&gt;"",NETWORKDAYS(B80,M80)-1,NETWORKDAYS(B80,$B$2)-1))</f>
        <v/>
      </c>
      <c r="O80">
        <f>IF(B80="","",IF(M80&lt;&gt;"",IF(M80&lt;=L80,"Met","Missed"),IF($B$2&gt;L80,"Overdue",IF(L80-$B$2&lt;=1,"Due soon","On track"))))</f>
        <v/>
      </c>
    </row>
    <row r="81">
      <c r="B81" s="3" t="n"/>
      <c r="G81" s="5" t="n"/>
      <c r="H81" s="5" t="n"/>
      <c r="I81" s="5">
        <f>IF(G81="","",G81-H81)</f>
        <v/>
      </c>
      <c r="L81" s="3">
        <f>IF(B81="","",WORKDAY(B81,K81))</f>
        <v/>
      </c>
      <c r="M81" s="3" t="n"/>
      <c r="N81">
        <f>IF(B81="","",IF(M81&lt;&gt;"",NETWORKDAYS(B81,M81)-1,NETWORKDAYS(B81,$B$2)-1))</f>
        <v/>
      </c>
      <c r="O81">
        <f>IF(B81="","",IF(M81&lt;&gt;"",IF(M81&lt;=L81,"Met","Missed"),IF($B$2&gt;L81,"Overdue",IF(L81-$B$2&lt;=1,"Due soon","On track"))))</f>
        <v/>
      </c>
    </row>
    <row r="82">
      <c r="B82" s="3" t="n"/>
      <c r="G82" s="5" t="n"/>
      <c r="H82" s="5" t="n"/>
      <c r="I82" s="5">
        <f>IF(G82="","",G82-H82)</f>
        <v/>
      </c>
      <c r="L82" s="3">
        <f>IF(B82="","",WORKDAY(B82,K82))</f>
        <v/>
      </c>
      <c r="M82" s="3" t="n"/>
      <c r="N82">
        <f>IF(B82="","",IF(M82&lt;&gt;"",NETWORKDAYS(B82,M82)-1,NETWORKDAYS(B82,$B$2)-1))</f>
        <v/>
      </c>
      <c r="O82">
        <f>IF(B82="","",IF(M82&lt;&gt;"",IF(M82&lt;=L82,"Met","Missed"),IF($B$2&gt;L82,"Overdue",IF(L82-$B$2&lt;=1,"Due soon","On track"))))</f>
        <v/>
      </c>
    </row>
    <row r="83">
      <c r="B83" s="3" t="n"/>
      <c r="G83" s="5" t="n"/>
      <c r="H83" s="5" t="n"/>
      <c r="I83" s="5">
        <f>IF(G83="","",G83-H83)</f>
        <v/>
      </c>
      <c r="L83" s="3">
        <f>IF(B83="","",WORKDAY(B83,K83))</f>
        <v/>
      </c>
      <c r="M83" s="3" t="n"/>
      <c r="N83">
        <f>IF(B83="","",IF(M83&lt;&gt;"",NETWORKDAYS(B83,M83)-1,NETWORKDAYS(B83,$B$2)-1))</f>
        <v/>
      </c>
      <c r="O83">
        <f>IF(B83="","",IF(M83&lt;&gt;"",IF(M83&lt;=L83,"Met","Missed"),IF($B$2&gt;L83,"Overdue",IF(L83-$B$2&lt;=1,"Due soon","On track"))))</f>
        <v/>
      </c>
    </row>
    <row r="84">
      <c r="B84" s="3" t="n"/>
      <c r="G84" s="5" t="n"/>
      <c r="H84" s="5" t="n"/>
      <c r="I84" s="5">
        <f>IF(G84="","",G84-H84)</f>
        <v/>
      </c>
      <c r="L84" s="3">
        <f>IF(B84="","",WORKDAY(B84,K84))</f>
        <v/>
      </c>
      <c r="M84" s="3" t="n"/>
      <c r="N84">
        <f>IF(B84="","",IF(M84&lt;&gt;"",NETWORKDAYS(B84,M84)-1,NETWORKDAYS(B84,$B$2)-1))</f>
        <v/>
      </c>
      <c r="O84">
        <f>IF(B84="","",IF(M84&lt;&gt;"",IF(M84&lt;=L84,"Met","Missed"),IF($B$2&gt;L84,"Overdue",IF(L84-$B$2&lt;=1,"Due soon","On track"))))</f>
        <v/>
      </c>
    </row>
    <row r="85">
      <c r="B85" s="3" t="n"/>
      <c r="G85" s="5" t="n"/>
      <c r="H85" s="5" t="n"/>
      <c r="I85" s="5">
        <f>IF(G85="","",G85-H85)</f>
        <v/>
      </c>
      <c r="L85" s="3">
        <f>IF(B85="","",WORKDAY(B85,K85))</f>
        <v/>
      </c>
      <c r="M85" s="3" t="n"/>
      <c r="N85">
        <f>IF(B85="","",IF(M85&lt;&gt;"",NETWORKDAYS(B85,M85)-1,NETWORKDAYS(B85,$B$2)-1))</f>
        <v/>
      </c>
      <c r="O85">
        <f>IF(B85="","",IF(M85&lt;&gt;"",IF(M85&lt;=L85,"Met","Missed"),IF($B$2&gt;L85,"Overdue",IF(L85-$B$2&lt;=1,"Due soon","On track"))))</f>
        <v/>
      </c>
    </row>
    <row r="86">
      <c r="B86" s="3" t="n"/>
      <c r="G86" s="5" t="n"/>
      <c r="H86" s="5" t="n"/>
      <c r="I86" s="5">
        <f>IF(G86="","",G86-H86)</f>
        <v/>
      </c>
      <c r="L86" s="3">
        <f>IF(B86="","",WORKDAY(B86,K86))</f>
        <v/>
      </c>
      <c r="M86" s="3" t="n"/>
      <c r="N86">
        <f>IF(B86="","",IF(M86&lt;&gt;"",NETWORKDAYS(B86,M86)-1,NETWORKDAYS(B86,$B$2)-1))</f>
        <v/>
      </c>
      <c r="O86">
        <f>IF(B86="","",IF(M86&lt;&gt;"",IF(M86&lt;=L86,"Met","Missed"),IF($B$2&gt;L86,"Overdue",IF(L86-$B$2&lt;=1,"Due soon","On track"))))</f>
        <v/>
      </c>
    </row>
    <row r="87">
      <c r="B87" s="3" t="n"/>
      <c r="G87" s="5" t="n"/>
      <c r="H87" s="5" t="n"/>
      <c r="I87" s="5">
        <f>IF(G87="","",G87-H87)</f>
        <v/>
      </c>
      <c r="L87" s="3">
        <f>IF(B87="","",WORKDAY(B87,K87))</f>
        <v/>
      </c>
      <c r="M87" s="3" t="n"/>
      <c r="N87">
        <f>IF(B87="","",IF(M87&lt;&gt;"",NETWORKDAYS(B87,M87)-1,NETWORKDAYS(B87,$B$2)-1))</f>
        <v/>
      </c>
      <c r="O87">
        <f>IF(B87="","",IF(M87&lt;&gt;"",IF(M87&lt;=L87,"Met","Missed"),IF($B$2&gt;L87,"Overdue",IF(L87-$B$2&lt;=1,"Due soon","On track"))))</f>
        <v/>
      </c>
    </row>
    <row r="88">
      <c r="B88" s="3" t="n"/>
      <c r="G88" s="5" t="n"/>
      <c r="H88" s="5" t="n"/>
      <c r="I88" s="5">
        <f>IF(G88="","",G88-H88)</f>
        <v/>
      </c>
      <c r="L88" s="3">
        <f>IF(B88="","",WORKDAY(B88,K88))</f>
        <v/>
      </c>
      <c r="M88" s="3" t="n"/>
      <c r="N88">
        <f>IF(B88="","",IF(M88&lt;&gt;"",NETWORKDAYS(B88,M88)-1,NETWORKDAYS(B88,$B$2)-1))</f>
        <v/>
      </c>
      <c r="O88">
        <f>IF(B88="","",IF(M88&lt;&gt;"",IF(M88&lt;=L88,"Met","Missed"),IF($B$2&gt;L88,"Overdue",IF(L88-$B$2&lt;=1,"Due soon","On track"))))</f>
        <v/>
      </c>
    </row>
    <row r="89">
      <c r="B89" s="3" t="n"/>
      <c r="G89" s="5" t="n"/>
      <c r="H89" s="5" t="n"/>
      <c r="I89" s="5">
        <f>IF(G89="","",G89-H89)</f>
        <v/>
      </c>
      <c r="L89" s="3">
        <f>IF(B89="","",WORKDAY(B89,K89))</f>
        <v/>
      </c>
      <c r="M89" s="3" t="n"/>
      <c r="N89">
        <f>IF(B89="","",IF(M89&lt;&gt;"",NETWORKDAYS(B89,M89)-1,NETWORKDAYS(B89,$B$2)-1))</f>
        <v/>
      </c>
      <c r="O89">
        <f>IF(B89="","",IF(M89&lt;&gt;"",IF(M89&lt;=L89,"Met","Missed"),IF($B$2&gt;L89,"Overdue",IF(L89-$B$2&lt;=1,"Due soon","On track"))))</f>
        <v/>
      </c>
    </row>
    <row r="90">
      <c r="B90" s="3" t="n"/>
      <c r="G90" s="5" t="n"/>
      <c r="H90" s="5" t="n"/>
      <c r="I90" s="5">
        <f>IF(G90="","",G90-H90)</f>
        <v/>
      </c>
      <c r="L90" s="3">
        <f>IF(B90="","",WORKDAY(B90,K90))</f>
        <v/>
      </c>
      <c r="M90" s="3" t="n"/>
      <c r="N90">
        <f>IF(B90="","",IF(M90&lt;&gt;"",NETWORKDAYS(B90,M90)-1,NETWORKDAYS(B90,$B$2)-1))</f>
        <v/>
      </c>
      <c r="O90">
        <f>IF(B90="","",IF(M90&lt;&gt;"",IF(M90&lt;=L90,"Met","Missed"),IF($B$2&gt;L90,"Overdue",IF(L90-$B$2&lt;=1,"Due soon","On track"))))</f>
        <v/>
      </c>
    </row>
    <row r="91">
      <c r="B91" s="3" t="n"/>
      <c r="G91" s="5" t="n"/>
      <c r="H91" s="5" t="n"/>
      <c r="I91" s="5">
        <f>IF(G91="","",G91-H91)</f>
        <v/>
      </c>
      <c r="L91" s="3">
        <f>IF(B91="","",WORKDAY(B91,K91))</f>
        <v/>
      </c>
      <c r="M91" s="3" t="n"/>
      <c r="N91">
        <f>IF(B91="","",IF(M91&lt;&gt;"",NETWORKDAYS(B91,M91)-1,NETWORKDAYS(B91,$B$2)-1))</f>
        <v/>
      </c>
      <c r="O91">
        <f>IF(B91="","",IF(M91&lt;&gt;"",IF(M91&lt;=L91,"Met","Missed"),IF($B$2&gt;L91,"Overdue",IF(L91-$B$2&lt;=1,"Due soon","On track"))))</f>
        <v/>
      </c>
    </row>
    <row r="92">
      <c r="B92" s="3" t="n"/>
      <c r="G92" s="5" t="n"/>
      <c r="H92" s="5" t="n"/>
      <c r="I92" s="5">
        <f>IF(G92="","",G92-H92)</f>
        <v/>
      </c>
      <c r="L92" s="3">
        <f>IF(B92="","",WORKDAY(B92,K92))</f>
        <v/>
      </c>
      <c r="M92" s="3" t="n"/>
      <c r="N92">
        <f>IF(B92="","",IF(M92&lt;&gt;"",NETWORKDAYS(B92,M92)-1,NETWORKDAYS(B92,$B$2)-1))</f>
        <v/>
      </c>
      <c r="O92">
        <f>IF(B92="","",IF(M92&lt;&gt;"",IF(M92&lt;=L92,"Met","Missed"),IF($B$2&gt;L92,"Overdue",IF(L92-$B$2&lt;=1,"Due soon","On track"))))</f>
        <v/>
      </c>
    </row>
    <row r="93">
      <c r="B93" s="3" t="n"/>
      <c r="G93" s="5" t="n"/>
      <c r="H93" s="5" t="n"/>
      <c r="I93" s="5">
        <f>IF(G93="","",G93-H93)</f>
        <v/>
      </c>
      <c r="L93" s="3">
        <f>IF(B93="","",WORKDAY(B93,K93))</f>
        <v/>
      </c>
      <c r="M93" s="3" t="n"/>
      <c r="N93">
        <f>IF(B93="","",IF(M93&lt;&gt;"",NETWORKDAYS(B93,M93)-1,NETWORKDAYS(B93,$B$2)-1))</f>
        <v/>
      </c>
      <c r="O93">
        <f>IF(B93="","",IF(M93&lt;&gt;"",IF(M93&lt;=L93,"Met","Missed"),IF($B$2&gt;L93,"Overdue",IF(L93-$B$2&lt;=1,"Due soon","On track"))))</f>
        <v/>
      </c>
    </row>
    <row r="94">
      <c r="B94" s="3" t="n"/>
      <c r="G94" s="5" t="n"/>
      <c r="H94" s="5" t="n"/>
      <c r="I94" s="5">
        <f>IF(G94="","",G94-H94)</f>
        <v/>
      </c>
      <c r="L94" s="3">
        <f>IF(B94="","",WORKDAY(B94,K94))</f>
        <v/>
      </c>
      <c r="M94" s="3" t="n"/>
      <c r="N94">
        <f>IF(B94="","",IF(M94&lt;&gt;"",NETWORKDAYS(B94,M94)-1,NETWORKDAYS(B94,$B$2)-1))</f>
        <v/>
      </c>
      <c r="O94">
        <f>IF(B94="","",IF(M94&lt;&gt;"",IF(M94&lt;=L94,"Met","Missed"),IF($B$2&gt;L94,"Overdue",IF(L94-$B$2&lt;=1,"Due soon","On track"))))</f>
        <v/>
      </c>
    </row>
    <row r="95">
      <c r="B95" s="3" t="n"/>
      <c r="G95" s="5" t="n"/>
      <c r="H95" s="5" t="n"/>
      <c r="I95" s="5">
        <f>IF(G95="","",G95-H95)</f>
        <v/>
      </c>
      <c r="L95" s="3">
        <f>IF(B95="","",WORKDAY(B95,K95))</f>
        <v/>
      </c>
      <c r="M95" s="3" t="n"/>
      <c r="N95">
        <f>IF(B95="","",IF(M95&lt;&gt;"",NETWORKDAYS(B95,M95)-1,NETWORKDAYS(B95,$B$2)-1))</f>
        <v/>
      </c>
      <c r="O95">
        <f>IF(B95="","",IF(M95&lt;&gt;"",IF(M95&lt;=L95,"Met","Missed"),IF($B$2&gt;L95,"Overdue",IF(L95-$B$2&lt;=1,"Due soon","On track"))))</f>
        <v/>
      </c>
    </row>
    <row r="96">
      <c r="B96" s="3" t="n"/>
      <c r="G96" s="5" t="n"/>
      <c r="H96" s="5" t="n"/>
      <c r="I96" s="5">
        <f>IF(G96="","",G96-H96)</f>
        <v/>
      </c>
      <c r="L96" s="3">
        <f>IF(B96="","",WORKDAY(B96,K96))</f>
        <v/>
      </c>
      <c r="M96" s="3" t="n"/>
      <c r="N96">
        <f>IF(B96="","",IF(M96&lt;&gt;"",NETWORKDAYS(B96,M96)-1,NETWORKDAYS(B96,$B$2)-1))</f>
        <v/>
      </c>
      <c r="O96">
        <f>IF(B96="","",IF(M96&lt;&gt;"",IF(M96&lt;=L96,"Met","Missed"),IF($B$2&gt;L96,"Overdue",IF(L96-$B$2&lt;=1,"Due soon","On track"))))</f>
        <v/>
      </c>
    </row>
    <row r="97">
      <c r="B97" s="3" t="n"/>
      <c r="G97" s="5" t="n"/>
      <c r="H97" s="5" t="n"/>
      <c r="I97" s="5">
        <f>IF(G97="","",G97-H97)</f>
        <v/>
      </c>
      <c r="L97" s="3">
        <f>IF(B97="","",WORKDAY(B97,K97))</f>
        <v/>
      </c>
      <c r="M97" s="3" t="n"/>
      <c r="N97">
        <f>IF(B97="","",IF(M97&lt;&gt;"",NETWORKDAYS(B97,M97)-1,NETWORKDAYS(B97,$B$2)-1))</f>
        <v/>
      </c>
      <c r="O97">
        <f>IF(B97="","",IF(M97&lt;&gt;"",IF(M97&lt;=L97,"Met","Missed"),IF($B$2&gt;L97,"Overdue",IF(L97-$B$2&lt;=1,"Due soon","On track"))))</f>
        <v/>
      </c>
    </row>
    <row r="98">
      <c r="B98" s="3" t="n"/>
      <c r="G98" s="5" t="n"/>
      <c r="H98" s="5" t="n"/>
      <c r="I98" s="5">
        <f>IF(G98="","",G98-H98)</f>
        <v/>
      </c>
      <c r="L98" s="3">
        <f>IF(B98="","",WORKDAY(B98,K98))</f>
        <v/>
      </c>
      <c r="M98" s="3" t="n"/>
      <c r="N98">
        <f>IF(B98="","",IF(M98&lt;&gt;"",NETWORKDAYS(B98,M98)-1,NETWORKDAYS(B98,$B$2)-1))</f>
        <v/>
      </c>
      <c r="O98">
        <f>IF(B98="","",IF(M98&lt;&gt;"",IF(M98&lt;=L98,"Met","Missed"),IF($B$2&gt;L98,"Overdue",IF(L98-$B$2&lt;=1,"Due soon","On track"))))</f>
        <v/>
      </c>
    </row>
    <row r="99">
      <c r="B99" s="3" t="n"/>
      <c r="G99" s="5" t="n"/>
      <c r="H99" s="5" t="n"/>
      <c r="I99" s="5">
        <f>IF(G99="","",G99-H99)</f>
        <v/>
      </c>
      <c r="L99" s="3">
        <f>IF(B99="","",WORKDAY(B99,K99))</f>
        <v/>
      </c>
      <c r="M99" s="3" t="n"/>
      <c r="N99">
        <f>IF(B99="","",IF(M99&lt;&gt;"",NETWORKDAYS(B99,M99)-1,NETWORKDAYS(B99,$B$2)-1))</f>
        <v/>
      </c>
      <c r="O99">
        <f>IF(B99="","",IF(M99&lt;&gt;"",IF(M99&lt;=L99,"Met","Missed"),IF($B$2&gt;L99,"Overdue",IF(L99-$B$2&lt;=1,"Due soon","On track"))))</f>
        <v/>
      </c>
    </row>
    <row r="100">
      <c r="B100" s="3" t="n"/>
      <c r="G100" s="5" t="n"/>
      <c r="H100" s="5" t="n"/>
      <c r="I100" s="5">
        <f>IF(G100="","",G100-H100)</f>
        <v/>
      </c>
      <c r="L100" s="3">
        <f>IF(B100="","",WORKDAY(B100,K100))</f>
        <v/>
      </c>
      <c r="M100" s="3" t="n"/>
      <c r="N100">
        <f>IF(B100="","",IF(M100&lt;&gt;"",NETWORKDAYS(B100,M100)-1,NETWORKDAYS(B100,$B$2)-1))</f>
        <v/>
      </c>
      <c r="O100">
        <f>IF(B100="","",IF(M100&lt;&gt;"",IF(M100&lt;=L100,"Met","Missed"),IF($B$2&gt;L100,"Overdue",IF(L100-$B$2&lt;=1,"Due soon","On track"))))</f>
        <v/>
      </c>
    </row>
    <row r="101">
      <c r="B101" s="3" t="n"/>
      <c r="G101" s="5" t="n"/>
      <c r="H101" s="5" t="n"/>
      <c r="I101" s="5">
        <f>IF(G101="","",G101-H101)</f>
        <v/>
      </c>
      <c r="L101" s="3">
        <f>IF(B101="","",WORKDAY(B101,K101))</f>
        <v/>
      </c>
      <c r="M101" s="3" t="n"/>
      <c r="N101">
        <f>IF(B101="","",IF(M101&lt;&gt;"",NETWORKDAYS(B101,M101)-1,NETWORKDAYS(B101,$B$2)-1))</f>
        <v/>
      </c>
      <c r="O101">
        <f>IF(B101="","",IF(M101&lt;&gt;"",IF(M101&lt;=L101,"Met","Missed"),IF($B$2&gt;L101,"Overdue",IF(L101-$B$2&lt;=1,"Due soon","On track"))))</f>
        <v/>
      </c>
    </row>
    <row r="102">
      <c r="B102" s="3" t="n"/>
      <c r="G102" s="5" t="n"/>
      <c r="H102" s="5" t="n"/>
      <c r="I102" s="5">
        <f>IF(G102="","",G102-H102)</f>
        <v/>
      </c>
      <c r="L102" s="3">
        <f>IF(B102="","",WORKDAY(B102,K102))</f>
        <v/>
      </c>
      <c r="M102" s="3" t="n"/>
      <c r="N102">
        <f>IF(B102="","",IF(M102&lt;&gt;"",NETWORKDAYS(B102,M102)-1,NETWORKDAYS(B102,$B$2)-1))</f>
        <v/>
      </c>
      <c r="O102">
        <f>IF(B102="","",IF(M102&lt;&gt;"",IF(M102&lt;=L102,"Met","Missed"),IF($B$2&gt;L102,"Overdue",IF(L102-$B$2&lt;=1,"Due soon","On track"))))</f>
        <v/>
      </c>
    </row>
    <row r="103">
      <c r="B103" s="3" t="n"/>
      <c r="G103" s="5" t="n"/>
      <c r="H103" s="5" t="n"/>
      <c r="I103" s="5">
        <f>IF(G103="","",G103-H103)</f>
        <v/>
      </c>
      <c r="L103" s="3">
        <f>IF(B103="","",WORKDAY(B103,K103))</f>
        <v/>
      </c>
      <c r="M103" s="3" t="n"/>
      <c r="N103">
        <f>IF(B103="","",IF(M103&lt;&gt;"",NETWORKDAYS(B103,M103)-1,NETWORKDAYS(B103,$B$2)-1))</f>
        <v/>
      </c>
      <c r="O103">
        <f>IF(B103="","",IF(M103&lt;&gt;"",IF(M103&lt;=L103,"Met","Missed"),IF($B$2&gt;L103,"Overdue",IF(L103-$B$2&lt;=1,"Due soon","On track"))))</f>
        <v/>
      </c>
    </row>
    <row r="104">
      <c r="B104" s="3" t="n"/>
      <c r="G104" s="5" t="n"/>
      <c r="H104" s="5" t="n"/>
      <c r="I104" s="5">
        <f>IF(G104="","",G104-H104)</f>
        <v/>
      </c>
      <c r="L104" s="3">
        <f>IF(B104="","",WORKDAY(B104,K104))</f>
        <v/>
      </c>
      <c r="M104" s="3" t="n"/>
      <c r="N104">
        <f>IF(B104="","",IF(M104&lt;&gt;"",NETWORKDAYS(B104,M104)-1,NETWORKDAYS(B104,$B$2)-1))</f>
        <v/>
      </c>
      <c r="O104">
        <f>IF(B104="","",IF(M104&lt;&gt;"",IF(M104&lt;=L104,"Met","Missed"),IF($B$2&gt;L104,"Overdue",IF(L104-$B$2&lt;=1,"Due soon","On track"))))</f>
        <v/>
      </c>
    </row>
    <row r="105">
      <c r="B105" s="3" t="n"/>
      <c r="G105" s="5" t="n"/>
      <c r="H105" s="5" t="n"/>
      <c r="I105" s="5">
        <f>IF(G105="","",G105-H105)</f>
        <v/>
      </c>
      <c r="L105" s="3">
        <f>IF(B105="","",WORKDAY(B105,K105))</f>
        <v/>
      </c>
      <c r="M105" s="3" t="n"/>
      <c r="N105">
        <f>IF(B105="","",IF(M105&lt;&gt;"",NETWORKDAYS(B105,M105)-1,NETWORKDAYS(B105,$B$2)-1))</f>
        <v/>
      </c>
      <c r="O105">
        <f>IF(B105="","",IF(M105&lt;&gt;"",IF(M105&lt;=L105,"Met","Missed"),IF($B$2&gt;L105,"Overdue",IF(L105-$B$2&lt;=1,"Due soon","On track"))))</f>
        <v/>
      </c>
    </row>
    <row r="106">
      <c r="B106" s="3" t="n"/>
      <c r="G106" s="5" t="n"/>
      <c r="H106" s="5" t="n"/>
      <c r="I106" s="5">
        <f>IF(G106="","",G106-H106)</f>
        <v/>
      </c>
      <c r="L106" s="3">
        <f>IF(B106="","",WORKDAY(B106,K106))</f>
        <v/>
      </c>
      <c r="M106" s="3" t="n"/>
      <c r="N106">
        <f>IF(B106="","",IF(M106&lt;&gt;"",NETWORKDAYS(B106,M106)-1,NETWORKDAYS(B106,$B$2)-1))</f>
        <v/>
      </c>
      <c r="O106">
        <f>IF(B106="","",IF(M106&lt;&gt;"",IF(M106&lt;=L106,"Met","Missed"),IF($B$2&gt;L106,"Overdue",IF(L106-$B$2&lt;=1,"Due soon","On track"))))</f>
        <v/>
      </c>
    </row>
    <row r="107">
      <c r="B107" s="3" t="n"/>
      <c r="G107" s="5" t="n"/>
      <c r="H107" s="5" t="n"/>
      <c r="I107" s="5">
        <f>IF(G107="","",G107-H107)</f>
        <v/>
      </c>
      <c r="L107" s="3">
        <f>IF(B107="","",WORKDAY(B107,K107))</f>
        <v/>
      </c>
      <c r="M107" s="3" t="n"/>
      <c r="N107">
        <f>IF(B107="","",IF(M107&lt;&gt;"",NETWORKDAYS(B107,M107)-1,NETWORKDAYS(B107,$B$2)-1))</f>
        <v/>
      </c>
      <c r="O107">
        <f>IF(B107="","",IF(M107&lt;&gt;"",IF(M107&lt;=L107,"Met","Missed"),IF($B$2&gt;L107,"Overdue",IF(L107-$B$2&lt;=1,"Due soon","On track"))))</f>
        <v/>
      </c>
    </row>
    <row r="108">
      <c r="B108" s="3" t="n"/>
      <c r="G108" s="5" t="n"/>
      <c r="H108" s="5" t="n"/>
      <c r="I108" s="5">
        <f>IF(G108="","",G108-H108)</f>
        <v/>
      </c>
      <c r="L108" s="3">
        <f>IF(B108="","",WORKDAY(B108,K108))</f>
        <v/>
      </c>
      <c r="M108" s="3" t="n"/>
      <c r="N108">
        <f>IF(B108="","",IF(M108&lt;&gt;"",NETWORKDAYS(B108,M108)-1,NETWORKDAYS(B108,$B$2)-1))</f>
        <v/>
      </c>
      <c r="O108">
        <f>IF(B108="","",IF(M108&lt;&gt;"",IF(M108&lt;=L108,"Met","Missed"),IF($B$2&gt;L108,"Overdue",IF(L108-$B$2&lt;=1,"Due soon","On track"))))</f>
        <v/>
      </c>
    </row>
    <row r="109">
      <c r="B109" s="3" t="n"/>
      <c r="G109" s="5" t="n"/>
      <c r="H109" s="5" t="n"/>
      <c r="I109" s="5">
        <f>IF(G109="","",G109-H109)</f>
        <v/>
      </c>
      <c r="L109" s="3">
        <f>IF(B109="","",WORKDAY(B109,K109))</f>
        <v/>
      </c>
      <c r="M109" s="3" t="n"/>
      <c r="N109">
        <f>IF(B109="","",IF(M109&lt;&gt;"",NETWORKDAYS(B109,M109)-1,NETWORKDAYS(B109,$B$2)-1))</f>
        <v/>
      </c>
      <c r="O109">
        <f>IF(B109="","",IF(M109&lt;&gt;"",IF(M109&lt;=L109,"Met","Missed"),IF($B$2&gt;L109,"Overdue",IF(L109-$B$2&lt;=1,"Due soon","On track"))))</f>
        <v/>
      </c>
    </row>
    <row r="110">
      <c r="B110" s="3" t="n"/>
      <c r="G110" s="5" t="n"/>
      <c r="H110" s="5" t="n"/>
      <c r="I110" s="5">
        <f>IF(G110="","",G110-H110)</f>
        <v/>
      </c>
      <c r="L110" s="3">
        <f>IF(B110="","",WORKDAY(B110,K110))</f>
        <v/>
      </c>
      <c r="M110" s="3" t="n"/>
      <c r="N110">
        <f>IF(B110="","",IF(M110&lt;&gt;"",NETWORKDAYS(B110,M110)-1,NETWORKDAYS(B110,$B$2)-1))</f>
        <v/>
      </c>
      <c r="O110">
        <f>IF(B110="","",IF(M110&lt;&gt;"",IF(M110&lt;=L110,"Met","Missed"),IF($B$2&gt;L110,"Overdue",IF(L110-$B$2&lt;=1,"Due soon","On track"))))</f>
        <v/>
      </c>
    </row>
    <row r="111">
      <c r="B111" s="3" t="n"/>
      <c r="G111" s="5" t="n"/>
      <c r="H111" s="5" t="n"/>
      <c r="I111" s="5">
        <f>IF(G111="","",G111-H111)</f>
        <v/>
      </c>
      <c r="L111" s="3">
        <f>IF(B111="","",WORKDAY(B111,K111))</f>
        <v/>
      </c>
      <c r="M111" s="3" t="n"/>
      <c r="N111">
        <f>IF(B111="","",IF(M111&lt;&gt;"",NETWORKDAYS(B111,M111)-1,NETWORKDAYS(B111,$B$2)-1))</f>
        <v/>
      </c>
      <c r="O111">
        <f>IF(B111="","",IF(M111&lt;&gt;"",IF(M111&lt;=L111,"Met","Missed"),IF($B$2&gt;L111,"Overdue",IF(L111-$B$2&lt;=1,"Due soon","On track"))))</f>
        <v/>
      </c>
    </row>
    <row r="112">
      <c r="B112" s="3" t="n"/>
      <c r="G112" s="5" t="n"/>
      <c r="H112" s="5" t="n"/>
      <c r="I112" s="5">
        <f>IF(G112="","",G112-H112)</f>
        <v/>
      </c>
      <c r="L112" s="3">
        <f>IF(B112="","",WORKDAY(B112,K112))</f>
        <v/>
      </c>
      <c r="M112" s="3" t="n"/>
      <c r="N112">
        <f>IF(B112="","",IF(M112&lt;&gt;"",NETWORKDAYS(B112,M112)-1,NETWORKDAYS(B112,$B$2)-1))</f>
        <v/>
      </c>
      <c r="O112">
        <f>IF(B112="","",IF(M112&lt;&gt;"",IF(M112&lt;=L112,"Met","Missed"),IF($B$2&gt;L112,"Overdue",IF(L112-$B$2&lt;=1,"Due soon","On track"))))</f>
        <v/>
      </c>
    </row>
    <row r="113">
      <c r="B113" s="3" t="n"/>
      <c r="G113" s="5" t="n"/>
      <c r="H113" s="5" t="n"/>
      <c r="I113" s="5">
        <f>IF(G113="","",G113-H113)</f>
        <v/>
      </c>
      <c r="L113" s="3">
        <f>IF(B113="","",WORKDAY(B113,K113))</f>
        <v/>
      </c>
      <c r="M113" s="3" t="n"/>
      <c r="N113">
        <f>IF(B113="","",IF(M113&lt;&gt;"",NETWORKDAYS(B113,M113)-1,NETWORKDAYS(B113,$B$2)-1))</f>
        <v/>
      </c>
      <c r="O113">
        <f>IF(B113="","",IF(M113&lt;&gt;"",IF(M113&lt;=L113,"Met","Missed"),IF($B$2&gt;L113,"Overdue",IF(L113-$B$2&lt;=1,"Due soon","On track"))))</f>
        <v/>
      </c>
    </row>
    <row r="114">
      <c r="B114" s="3" t="n"/>
      <c r="G114" s="5" t="n"/>
      <c r="H114" s="5" t="n"/>
      <c r="I114" s="5">
        <f>IF(G114="","",G114-H114)</f>
        <v/>
      </c>
      <c r="L114" s="3">
        <f>IF(B114="","",WORKDAY(B114,K114))</f>
        <v/>
      </c>
      <c r="M114" s="3" t="n"/>
      <c r="N114">
        <f>IF(B114="","",IF(M114&lt;&gt;"",NETWORKDAYS(B114,M114)-1,NETWORKDAYS(B114,$B$2)-1))</f>
        <v/>
      </c>
      <c r="O114">
        <f>IF(B114="","",IF(M114&lt;&gt;"",IF(M114&lt;=L114,"Met","Missed"),IF($B$2&gt;L114,"Overdue",IF(L114-$B$2&lt;=1,"Due soon","On track"))))</f>
        <v/>
      </c>
    </row>
    <row r="115">
      <c r="B115" s="3" t="n"/>
      <c r="G115" s="5" t="n"/>
      <c r="H115" s="5" t="n"/>
      <c r="I115" s="5">
        <f>IF(G115="","",G115-H115)</f>
        <v/>
      </c>
      <c r="L115" s="3">
        <f>IF(B115="","",WORKDAY(B115,K115))</f>
        <v/>
      </c>
      <c r="M115" s="3" t="n"/>
      <c r="N115">
        <f>IF(B115="","",IF(M115&lt;&gt;"",NETWORKDAYS(B115,M115)-1,NETWORKDAYS(B115,$B$2)-1))</f>
        <v/>
      </c>
      <c r="O115">
        <f>IF(B115="","",IF(M115&lt;&gt;"",IF(M115&lt;=L115,"Met","Missed"),IF($B$2&gt;L115,"Overdue",IF(L115-$B$2&lt;=1,"Due soon","On track"))))</f>
        <v/>
      </c>
    </row>
    <row r="116">
      <c r="B116" s="3" t="n"/>
      <c r="G116" s="5" t="n"/>
      <c r="H116" s="5" t="n"/>
      <c r="I116" s="5">
        <f>IF(G116="","",G116-H116)</f>
        <v/>
      </c>
      <c r="L116" s="3">
        <f>IF(B116="","",WORKDAY(B116,K116))</f>
        <v/>
      </c>
      <c r="M116" s="3" t="n"/>
      <c r="N116">
        <f>IF(B116="","",IF(M116&lt;&gt;"",NETWORKDAYS(B116,M116)-1,NETWORKDAYS(B116,$B$2)-1))</f>
        <v/>
      </c>
      <c r="O116">
        <f>IF(B116="","",IF(M116&lt;&gt;"",IF(M116&lt;=L116,"Met","Missed"),IF($B$2&gt;L116,"Overdue",IF(L116-$B$2&lt;=1,"Due soon","On track"))))</f>
        <v/>
      </c>
    </row>
    <row r="117">
      <c r="B117" s="3" t="n"/>
      <c r="G117" s="5" t="n"/>
      <c r="H117" s="5" t="n"/>
      <c r="I117" s="5">
        <f>IF(G117="","",G117-H117)</f>
        <v/>
      </c>
      <c r="L117" s="3">
        <f>IF(B117="","",WORKDAY(B117,K117))</f>
        <v/>
      </c>
      <c r="M117" s="3" t="n"/>
      <c r="N117">
        <f>IF(B117="","",IF(M117&lt;&gt;"",NETWORKDAYS(B117,M117)-1,NETWORKDAYS(B117,$B$2)-1))</f>
        <v/>
      </c>
      <c r="O117">
        <f>IF(B117="","",IF(M117&lt;&gt;"",IF(M117&lt;=L117,"Met","Missed"),IF($B$2&gt;L117,"Overdue",IF(L117-$B$2&lt;=1,"Due soon","On track"))))</f>
        <v/>
      </c>
    </row>
    <row r="118">
      <c r="B118" s="3" t="n"/>
      <c r="G118" s="5" t="n"/>
      <c r="H118" s="5" t="n"/>
      <c r="I118" s="5">
        <f>IF(G118="","",G118-H118)</f>
        <v/>
      </c>
      <c r="L118" s="3">
        <f>IF(B118="","",WORKDAY(B118,K118))</f>
        <v/>
      </c>
      <c r="M118" s="3" t="n"/>
      <c r="N118">
        <f>IF(B118="","",IF(M118&lt;&gt;"",NETWORKDAYS(B118,M118)-1,NETWORKDAYS(B118,$B$2)-1))</f>
        <v/>
      </c>
      <c r="O118">
        <f>IF(B118="","",IF(M118&lt;&gt;"",IF(M118&lt;=L118,"Met","Missed"),IF($B$2&gt;L118,"Overdue",IF(L118-$B$2&lt;=1,"Due soon","On track"))))</f>
        <v/>
      </c>
    </row>
    <row r="119">
      <c r="B119" s="3" t="n"/>
      <c r="G119" s="5" t="n"/>
      <c r="H119" s="5" t="n"/>
      <c r="I119" s="5">
        <f>IF(G119="","",G119-H119)</f>
        <v/>
      </c>
      <c r="L119" s="3">
        <f>IF(B119="","",WORKDAY(B119,K119))</f>
        <v/>
      </c>
      <c r="M119" s="3" t="n"/>
      <c r="N119">
        <f>IF(B119="","",IF(M119&lt;&gt;"",NETWORKDAYS(B119,M119)-1,NETWORKDAYS(B119,$B$2)-1))</f>
        <v/>
      </c>
      <c r="O119">
        <f>IF(B119="","",IF(M119&lt;&gt;"",IF(M119&lt;=L119,"Met","Missed"),IF($B$2&gt;L119,"Overdue",IF(L119-$B$2&lt;=1,"Due soon","On track"))))</f>
        <v/>
      </c>
    </row>
    <row r="120">
      <c r="B120" s="3" t="n"/>
      <c r="G120" s="5" t="n"/>
      <c r="H120" s="5" t="n"/>
      <c r="I120" s="5">
        <f>IF(G120="","",G120-H120)</f>
        <v/>
      </c>
      <c r="L120" s="3">
        <f>IF(B120="","",WORKDAY(B120,K120))</f>
        <v/>
      </c>
      <c r="M120" s="3" t="n"/>
      <c r="N120">
        <f>IF(B120="","",IF(M120&lt;&gt;"",NETWORKDAYS(B120,M120)-1,NETWORKDAYS(B120,$B$2)-1))</f>
        <v/>
      </c>
      <c r="O120">
        <f>IF(B120="","",IF(M120&lt;&gt;"",IF(M120&lt;=L120,"Met","Missed"),IF($B$2&gt;L120,"Overdue",IF(L120-$B$2&lt;=1,"Due soon","On track"))))</f>
        <v/>
      </c>
    </row>
    <row r="121">
      <c r="B121" s="3" t="n"/>
      <c r="G121" s="5" t="n"/>
      <c r="H121" s="5" t="n"/>
      <c r="I121" s="5">
        <f>IF(G121="","",G121-H121)</f>
        <v/>
      </c>
      <c r="L121" s="3">
        <f>IF(B121="","",WORKDAY(B121,K121))</f>
        <v/>
      </c>
      <c r="M121" s="3" t="n"/>
      <c r="N121">
        <f>IF(B121="","",IF(M121&lt;&gt;"",NETWORKDAYS(B121,M121)-1,NETWORKDAYS(B121,$B$2)-1))</f>
        <v/>
      </c>
      <c r="O121">
        <f>IF(B121="","",IF(M121&lt;&gt;"",IF(M121&lt;=L121,"Met","Missed"),IF($B$2&gt;L121,"Overdue",IF(L121-$B$2&lt;=1,"Due soon","On track"))))</f>
        <v/>
      </c>
    </row>
    <row r="122">
      <c r="B122" s="3" t="n"/>
      <c r="G122" s="5" t="n"/>
      <c r="H122" s="5" t="n"/>
      <c r="I122" s="5">
        <f>IF(G122="","",G122-H122)</f>
        <v/>
      </c>
      <c r="L122" s="3">
        <f>IF(B122="","",WORKDAY(B122,K122))</f>
        <v/>
      </c>
      <c r="M122" s="3" t="n"/>
      <c r="N122">
        <f>IF(B122="","",IF(M122&lt;&gt;"",NETWORKDAYS(B122,M122)-1,NETWORKDAYS(B122,$B$2)-1))</f>
        <v/>
      </c>
      <c r="O122">
        <f>IF(B122="","",IF(M122&lt;&gt;"",IF(M122&lt;=L122,"Met","Missed"),IF($B$2&gt;L122,"Overdue",IF(L122-$B$2&lt;=1,"Due soon","On track"))))</f>
        <v/>
      </c>
    </row>
    <row r="123">
      <c r="B123" s="3" t="n"/>
      <c r="G123" s="5" t="n"/>
      <c r="H123" s="5" t="n"/>
      <c r="I123" s="5">
        <f>IF(G123="","",G123-H123)</f>
        <v/>
      </c>
      <c r="L123" s="3">
        <f>IF(B123="","",WORKDAY(B123,K123))</f>
        <v/>
      </c>
      <c r="M123" s="3" t="n"/>
      <c r="N123">
        <f>IF(B123="","",IF(M123&lt;&gt;"",NETWORKDAYS(B123,M123)-1,NETWORKDAYS(B123,$B$2)-1))</f>
        <v/>
      </c>
      <c r="O123">
        <f>IF(B123="","",IF(M123&lt;&gt;"",IF(M123&lt;=L123,"Met","Missed"),IF($B$2&gt;L123,"Overdue",IF(L123-$B$2&lt;=1,"Due soon","On track"))))</f>
        <v/>
      </c>
    </row>
    <row r="124">
      <c r="B124" s="3" t="n"/>
      <c r="G124" s="5" t="n"/>
      <c r="H124" s="5" t="n"/>
      <c r="I124" s="5">
        <f>IF(G124="","",G124-H124)</f>
        <v/>
      </c>
      <c r="L124" s="3">
        <f>IF(B124="","",WORKDAY(B124,K124))</f>
        <v/>
      </c>
      <c r="M124" s="3" t="n"/>
      <c r="N124">
        <f>IF(B124="","",IF(M124&lt;&gt;"",NETWORKDAYS(B124,M124)-1,NETWORKDAYS(B124,$B$2)-1))</f>
        <v/>
      </c>
      <c r="O124">
        <f>IF(B124="","",IF(M124&lt;&gt;"",IF(M124&lt;=L124,"Met","Missed"),IF($B$2&gt;L124,"Overdue",IF(L124-$B$2&lt;=1,"Due soon","On track"))))</f>
        <v/>
      </c>
    </row>
    <row r="125">
      <c r="B125" s="3" t="n"/>
      <c r="G125" s="5" t="n"/>
      <c r="H125" s="5" t="n"/>
      <c r="I125" s="5">
        <f>IF(G125="","",G125-H125)</f>
        <v/>
      </c>
      <c r="L125" s="3">
        <f>IF(B125="","",WORKDAY(B125,K125))</f>
        <v/>
      </c>
      <c r="M125" s="3" t="n"/>
      <c r="N125">
        <f>IF(B125="","",IF(M125&lt;&gt;"",NETWORKDAYS(B125,M125)-1,NETWORKDAYS(B125,$B$2)-1))</f>
        <v/>
      </c>
      <c r="O125">
        <f>IF(B125="","",IF(M125&lt;&gt;"",IF(M125&lt;=L125,"Met","Missed"),IF($B$2&gt;L125,"Overdue",IF(L125-$B$2&lt;=1,"Due soon","On track"))))</f>
        <v/>
      </c>
    </row>
    <row r="126">
      <c r="B126" s="3" t="n"/>
      <c r="G126" s="5" t="n"/>
      <c r="H126" s="5" t="n"/>
      <c r="I126" s="5">
        <f>IF(G126="","",G126-H126)</f>
        <v/>
      </c>
      <c r="L126" s="3">
        <f>IF(B126="","",WORKDAY(B126,K126))</f>
        <v/>
      </c>
      <c r="M126" s="3" t="n"/>
      <c r="N126">
        <f>IF(B126="","",IF(M126&lt;&gt;"",NETWORKDAYS(B126,M126)-1,NETWORKDAYS(B126,$B$2)-1))</f>
        <v/>
      </c>
      <c r="O126">
        <f>IF(B126="","",IF(M126&lt;&gt;"",IF(M126&lt;=L126,"Met","Missed"),IF($B$2&gt;L126,"Overdue",IF(L126-$B$2&lt;=1,"Due soon","On track"))))</f>
        <v/>
      </c>
    </row>
    <row r="127">
      <c r="B127" s="3" t="n"/>
      <c r="G127" s="5" t="n"/>
      <c r="H127" s="5" t="n"/>
      <c r="I127" s="5">
        <f>IF(G127="","",G127-H127)</f>
        <v/>
      </c>
      <c r="L127" s="3">
        <f>IF(B127="","",WORKDAY(B127,K127))</f>
        <v/>
      </c>
      <c r="M127" s="3" t="n"/>
      <c r="N127">
        <f>IF(B127="","",IF(M127&lt;&gt;"",NETWORKDAYS(B127,M127)-1,NETWORKDAYS(B127,$B$2)-1))</f>
        <v/>
      </c>
      <c r="O127">
        <f>IF(B127="","",IF(M127&lt;&gt;"",IF(M127&lt;=L127,"Met","Missed"),IF($B$2&gt;L127,"Overdue",IF(L127-$B$2&lt;=1,"Due soon","On track"))))</f>
        <v/>
      </c>
    </row>
    <row r="128">
      <c r="B128" s="3" t="n"/>
      <c r="G128" s="5" t="n"/>
      <c r="H128" s="5" t="n"/>
      <c r="I128" s="5">
        <f>IF(G128="","",G128-H128)</f>
        <v/>
      </c>
      <c r="L128" s="3">
        <f>IF(B128="","",WORKDAY(B128,K128))</f>
        <v/>
      </c>
      <c r="M128" s="3" t="n"/>
      <c r="N128">
        <f>IF(B128="","",IF(M128&lt;&gt;"",NETWORKDAYS(B128,M128)-1,NETWORKDAYS(B128,$B$2)-1))</f>
        <v/>
      </c>
      <c r="O128">
        <f>IF(B128="","",IF(M128&lt;&gt;"",IF(M128&lt;=L128,"Met","Missed"),IF($B$2&gt;L128,"Overdue",IF(L128-$B$2&lt;=1,"Due soon","On track"))))</f>
        <v/>
      </c>
    </row>
    <row r="129">
      <c r="B129" s="3" t="n"/>
      <c r="G129" s="5" t="n"/>
      <c r="H129" s="5" t="n"/>
      <c r="I129" s="5">
        <f>IF(G129="","",G129-H129)</f>
        <v/>
      </c>
      <c r="L129" s="3">
        <f>IF(B129="","",WORKDAY(B129,K129))</f>
        <v/>
      </c>
      <c r="M129" s="3" t="n"/>
      <c r="N129">
        <f>IF(B129="","",IF(M129&lt;&gt;"",NETWORKDAYS(B129,M129)-1,NETWORKDAYS(B129,$B$2)-1))</f>
        <v/>
      </c>
      <c r="O129">
        <f>IF(B129="","",IF(M129&lt;&gt;"",IF(M129&lt;=L129,"Met","Missed"),IF($B$2&gt;L129,"Overdue",IF(L129-$B$2&lt;=1,"Due soon","On track"))))</f>
        <v/>
      </c>
    </row>
    <row r="130">
      <c r="B130" s="3" t="n"/>
      <c r="G130" s="5" t="n"/>
      <c r="H130" s="5" t="n"/>
      <c r="I130" s="5">
        <f>IF(G130="","",G130-H130)</f>
        <v/>
      </c>
      <c r="L130" s="3">
        <f>IF(B130="","",WORKDAY(B130,K130))</f>
        <v/>
      </c>
      <c r="M130" s="3" t="n"/>
      <c r="N130">
        <f>IF(B130="","",IF(M130&lt;&gt;"",NETWORKDAYS(B130,M130)-1,NETWORKDAYS(B130,$B$2)-1))</f>
        <v/>
      </c>
      <c r="O130">
        <f>IF(B130="","",IF(M130&lt;&gt;"",IF(M130&lt;=L130,"Met","Missed"),IF($B$2&gt;L130,"Overdue",IF(L130-$B$2&lt;=1,"Due soon","On track"))))</f>
        <v/>
      </c>
    </row>
    <row r="131">
      <c r="B131" s="3" t="n"/>
      <c r="G131" s="5" t="n"/>
      <c r="H131" s="5" t="n"/>
      <c r="I131" s="5">
        <f>IF(G131="","",G131-H131)</f>
        <v/>
      </c>
      <c r="L131" s="3">
        <f>IF(B131="","",WORKDAY(B131,K131))</f>
        <v/>
      </c>
      <c r="M131" s="3" t="n"/>
      <c r="N131">
        <f>IF(B131="","",IF(M131&lt;&gt;"",NETWORKDAYS(B131,M131)-1,NETWORKDAYS(B131,$B$2)-1))</f>
        <v/>
      </c>
      <c r="O131">
        <f>IF(B131="","",IF(M131&lt;&gt;"",IF(M131&lt;=L131,"Met","Missed"),IF($B$2&gt;L131,"Overdue",IF(L131-$B$2&lt;=1,"Due soon","On track"))))</f>
        <v/>
      </c>
    </row>
    <row r="132">
      <c r="B132" s="3" t="n"/>
      <c r="G132" s="5" t="n"/>
      <c r="H132" s="5" t="n"/>
      <c r="I132" s="5">
        <f>IF(G132="","",G132-H132)</f>
        <v/>
      </c>
      <c r="L132" s="3">
        <f>IF(B132="","",WORKDAY(B132,K132))</f>
        <v/>
      </c>
      <c r="M132" s="3" t="n"/>
      <c r="N132">
        <f>IF(B132="","",IF(M132&lt;&gt;"",NETWORKDAYS(B132,M132)-1,NETWORKDAYS(B132,$B$2)-1))</f>
        <v/>
      </c>
      <c r="O132">
        <f>IF(B132="","",IF(M132&lt;&gt;"",IF(M132&lt;=L132,"Met","Missed"),IF($B$2&gt;L132,"Overdue",IF(L132-$B$2&lt;=1,"Due soon","On track"))))</f>
        <v/>
      </c>
    </row>
    <row r="133">
      <c r="B133" s="3" t="n"/>
      <c r="G133" s="5" t="n"/>
      <c r="H133" s="5" t="n"/>
      <c r="I133" s="5">
        <f>IF(G133="","",G133-H133)</f>
        <v/>
      </c>
      <c r="L133" s="3">
        <f>IF(B133="","",WORKDAY(B133,K133))</f>
        <v/>
      </c>
      <c r="M133" s="3" t="n"/>
      <c r="N133">
        <f>IF(B133="","",IF(M133&lt;&gt;"",NETWORKDAYS(B133,M133)-1,NETWORKDAYS(B133,$B$2)-1))</f>
        <v/>
      </c>
      <c r="O133">
        <f>IF(B133="","",IF(M133&lt;&gt;"",IF(M133&lt;=L133,"Met","Missed"),IF($B$2&gt;L133,"Overdue",IF(L133-$B$2&lt;=1,"Due soon","On track"))))</f>
        <v/>
      </c>
    </row>
    <row r="134">
      <c r="B134" s="3" t="n"/>
      <c r="G134" s="5" t="n"/>
      <c r="H134" s="5" t="n"/>
      <c r="I134" s="5">
        <f>IF(G134="","",G134-H134)</f>
        <v/>
      </c>
      <c r="L134" s="3">
        <f>IF(B134="","",WORKDAY(B134,K134))</f>
        <v/>
      </c>
      <c r="M134" s="3" t="n"/>
      <c r="N134">
        <f>IF(B134="","",IF(M134&lt;&gt;"",NETWORKDAYS(B134,M134)-1,NETWORKDAYS(B134,$B$2)-1))</f>
        <v/>
      </c>
      <c r="O134">
        <f>IF(B134="","",IF(M134&lt;&gt;"",IF(M134&lt;=L134,"Met","Missed"),IF($B$2&gt;L134,"Overdue",IF(L134-$B$2&lt;=1,"Due soon","On track"))))</f>
        <v/>
      </c>
    </row>
    <row r="135">
      <c r="B135" s="3" t="n"/>
      <c r="G135" s="5" t="n"/>
      <c r="H135" s="5" t="n"/>
      <c r="I135" s="5">
        <f>IF(G135="","",G135-H135)</f>
        <v/>
      </c>
      <c r="L135" s="3">
        <f>IF(B135="","",WORKDAY(B135,K135))</f>
        <v/>
      </c>
      <c r="M135" s="3" t="n"/>
      <c r="N135">
        <f>IF(B135="","",IF(M135&lt;&gt;"",NETWORKDAYS(B135,M135)-1,NETWORKDAYS(B135,$B$2)-1))</f>
        <v/>
      </c>
      <c r="O135">
        <f>IF(B135="","",IF(M135&lt;&gt;"",IF(M135&lt;=L135,"Met","Missed"),IF($B$2&gt;L135,"Overdue",IF(L135-$B$2&lt;=1,"Due soon","On track"))))</f>
        <v/>
      </c>
    </row>
    <row r="136">
      <c r="B136" s="3" t="n"/>
      <c r="G136" s="5" t="n"/>
      <c r="H136" s="5" t="n"/>
      <c r="I136" s="5">
        <f>IF(G136="","",G136-H136)</f>
        <v/>
      </c>
      <c r="L136" s="3">
        <f>IF(B136="","",WORKDAY(B136,K136))</f>
        <v/>
      </c>
      <c r="M136" s="3" t="n"/>
      <c r="N136">
        <f>IF(B136="","",IF(M136&lt;&gt;"",NETWORKDAYS(B136,M136)-1,NETWORKDAYS(B136,$B$2)-1))</f>
        <v/>
      </c>
      <c r="O136">
        <f>IF(B136="","",IF(M136&lt;&gt;"",IF(M136&lt;=L136,"Met","Missed"),IF($B$2&gt;L136,"Overdue",IF(L136-$B$2&lt;=1,"Due soon","On track"))))</f>
        <v/>
      </c>
    </row>
    <row r="137">
      <c r="B137" s="3" t="n"/>
      <c r="G137" s="5" t="n"/>
      <c r="H137" s="5" t="n"/>
      <c r="I137" s="5">
        <f>IF(G137="","",G137-H137)</f>
        <v/>
      </c>
      <c r="L137" s="3">
        <f>IF(B137="","",WORKDAY(B137,K137))</f>
        <v/>
      </c>
      <c r="M137" s="3" t="n"/>
      <c r="N137">
        <f>IF(B137="","",IF(M137&lt;&gt;"",NETWORKDAYS(B137,M137)-1,NETWORKDAYS(B137,$B$2)-1))</f>
        <v/>
      </c>
      <c r="O137">
        <f>IF(B137="","",IF(M137&lt;&gt;"",IF(M137&lt;=L137,"Met","Missed"),IF($B$2&gt;L137,"Overdue",IF(L137-$B$2&lt;=1,"Due soon","On track"))))</f>
        <v/>
      </c>
    </row>
    <row r="138">
      <c r="B138" s="3" t="n"/>
      <c r="G138" s="5" t="n"/>
      <c r="H138" s="5" t="n"/>
      <c r="I138" s="5">
        <f>IF(G138="","",G138-H138)</f>
        <v/>
      </c>
      <c r="L138" s="3">
        <f>IF(B138="","",WORKDAY(B138,K138))</f>
        <v/>
      </c>
      <c r="M138" s="3" t="n"/>
      <c r="N138">
        <f>IF(B138="","",IF(M138&lt;&gt;"",NETWORKDAYS(B138,M138)-1,NETWORKDAYS(B138,$B$2)-1))</f>
        <v/>
      </c>
      <c r="O138">
        <f>IF(B138="","",IF(M138&lt;&gt;"",IF(M138&lt;=L138,"Met","Missed"),IF($B$2&gt;L138,"Overdue",IF(L138-$B$2&lt;=1,"Due soon","On track"))))</f>
        <v/>
      </c>
    </row>
    <row r="139">
      <c r="B139" s="3" t="n"/>
      <c r="G139" s="5" t="n"/>
      <c r="H139" s="5" t="n"/>
      <c r="I139" s="5">
        <f>IF(G139="","",G139-H139)</f>
        <v/>
      </c>
      <c r="L139" s="3">
        <f>IF(B139="","",WORKDAY(B139,K139))</f>
        <v/>
      </c>
      <c r="M139" s="3" t="n"/>
      <c r="N139">
        <f>IF(B139="","",IF(M139&lt;&gt;"",NETWORKDAYS(B139,M139)-1,NETWORKDAYS(B139,$B$2)-1))</f>
        <v/>
      </c>
      <c r="O139">
        <f>IF(B139="","",IF(M139&lt;&gt;"",IF(M139&lt;=L139,"Met","Missed"),IF($B$2&gt;L139,"Overdue",IF(L139-$B$2&lt;=1,"Due soon","On track"))))</f>
        <v/>
      </c>
    </row>
    <row r="140">
      <c r="B140" s="3" t="n"/>
      <c r="G140" s="5" t="n"/>
      <c r="H140" s="5" t="n"/>
      <c r="I140" s="5">
        <f>IF(G140="","",G140-H140)</f>
        <v/>
      </c>
      <c r="L140" s="3">
        <f>IF(B140="","",WORKDAY(B140,K140))</f>
        <v/>
      </c>
      <c r="M140" s="3" t="n"/>
      <c r="N140">
        <f>IF(B140="","",IF(M140&lt;&gt;"",NETWORKDAYS(B140,M140)-1,NETWORKDAYS(B140,$B$2)-1))</f>
        <v/>
      </c>
      <c r="O140">
        <f>IF(B140="","",IF(M140&lt;&gt;"",IF(M140&lt;=L140,"Met","Missed"),IF($B$2&gt;L140,"Overdue",IF(L140-$B$2&lt;=1,"Due soon","On track"))))</f>
        <v/>
      </c>
    </row>
    <row r="141">
      <c r="B141" s="3" t="n"/>
      <c r="G141" s="5" t="n"/>
      <c r="H141" s="5" t="n"/>
      <c r="I141" s="5">
        <f>IF(G141="","",G141-H141)</f>
        <v/>
      </c>
      <c r="L141" s="3">
        <f>IF(B141="","",WORKDAY(B141,K141))</f>
        <v/>
      </c>
      <c r="M141" s="3" t="n"/>
      <c r="N141">
        <f>IF(B141="","",IF(M141&lt;&gt;"",NETWORKDAYS(B141,M141)-1,NETWORKDAYS(B141,$B$2)-1))</f>
        <v/>
      </c>
      <c r="O141">
        <f>IF(B141="","",IF(M141&lt;&gt;"",IF(M141&lt;=L141,"Met","Missed"),IF($B$2&gt;L141,"Overdue",IF(L141-$B$2&lt;=1,"Due soon","On track"))))</f>
        <v/>
      </c>
    </row>
    <row r="142">
      <c r="B142" s="3" t="n"/>
      <c r="G142" s="5" t="n"/>
      <c r="H142" s="5" t="n"/>
      <c r="I142" s="5">
        <f>IF(G142="","",G142-H142)</f>
        <v/>
      </c>
      <c r="L142" s="3">
        <f>IF(B142="","",WORKDAY(B142,K142))</f>
        <v/>
      </c>
      <c r="M142" s="3" t="n"/>
      <c r="N142">
        <f>IF(B142="","",IF(M142&lt;&gt;"",NETWORKDAYS(B142,M142)-1,NETWORKDAYS(B142,$B$2)-1))</f>
        <v/>
      </c>
      <c r="O142">
        <f>IF(B142="","",IF(M142&lt;&gt;"",IF(M142&lt;=L142,"Met","Missed"),IF($B$2&gt;L142,"Overdue",IF(L142-$B$2&lt;=1,"Due soon","On track"))))</f>
        <v/>
      </c>
    </row>
    <row r="143">
      <c r="B143" s="3" t="n"/>
      <c r="G143" s="5" t="n"/>
      <c r="H143" s="5" t="n"/>
      <c r="I143" s="5">
        <f>IF(G143="","",G143-H143)</f>
        <v/>
      </c>
      <c r="L143" s="3">
        <f>IF(B143="","",WORKDAY(B143,K143))</f>
        <v/>
      </c>
      <c r="M143" s="3" t="n"/>
      <c r="N143">
        <f>IF(B143="","",IF(M143&lt;&gt;"",NETWORKDAYS(B143,M143)-1,NETWORKDAYS(B143,$B$2)-1))</f>
        <v/>
      </c>
      <c r="O143">
        <f>IF(B143="","",IF(M143&lt;&gt;"",IF(M143&lt;=L143,"Met","Missed"),IF($B$2&gt;L143,"Overdue",IF(L143-$B$2&lt;=1,"Due soon","On track"))))</f>
        <v/>
      </c>
    </row>
    <row r="144">
      <c r="B144" s="3" t="n"/>
      <c r="G144" s="5" t="n"/>
      <c r="H144" s="5" t="n"/>
      <c r="I144" s="5">
        <f>IF(G144="","",G144-H144)</f>
        <v/>
      </c>
      <c r="L144" s="3">
        <f>IF(B144="","",WORKDAY(B144,K144))</f>
        <v/>
      </c>
      <c r="M144" s="3" t="n"/>
      <c r="N144">
        <f>IF(B144="","",IF(M144&lt;&gt;"",NETWORKDAYS(B144,M144)-1,NETWORKDAYS(B144,$B$2)-1))</f>
        <v/>
      </c>
      <c r="O144">
        <f>IF(B144="","",IF(M144&lt;&gt;"",IF(M144&lt;=L144,"Met","Missed"),IF($B$2&gt;L144,"Overdue",IF(L144-$B$2&lt;=1,"Due soon","On track"))))</f>
        <v/>
      </c>
    </row>
    <row r="145">
      <c r="B145" s="3" t="n"/>
      <c r="G145" s="5" t="n"/>
      <c r="H145" s="5" t="n"/>
      <c r="I145" s="5">
        <f>IF(G145="","",G145-H145)</f>
        <v/>
      </c>
      <c r="L145" s="3">
        <f>IF(B145="","",WORKDAY(B145,K145))</f>
        <v/>
      </c>
      <c r="M145" s="3" t="n"/>
      <c r="N145">
        <f>IF(B145="","",IF(M145&lt;&gt;"",NETWORKDAYS(B145,M145)-1,NETWORKDAYS(B145,$B$2)-1))</f>
        <v/>
      </c>
      <c r="O145">
        <f>IF(B145="","",IF(M145&lt;&gt;"",IF(M145&lt;=L145,"Met","Missed"),IF($B$2&gt;L145,"Overdue",IF(L145-$B$2&lt;=1,"Due soon","On track"))))</f>
        <v/>
      </c>
    </row>
    <row r="146">
      <c r="B146" s="3" t="n"/>
      <c r="G146" s="5" t="n"/>
      <c r="H146" s="5" t="n"/>
      <c r="I146" s="5">
        <f>IF(G146="","",G146-H146)</f>
        <v/>
      </c>
      <c r="L146" s="3">
        <f>IF(B146="","",WORKDAY(B146,K146))</f>
        <v/>
      </c>
      <c r="M146" s="3" t="n"/>
      <c r="N146">
        <f>IF(B146="","",IF(M146&lt;&gt;"",NETWORKDAYS(B146,M146)-1,NETWORKDAYS(B146,$B$2)-1))</f>
        <v/>
      </c>
      <c r="O146">
        <f>IF(B146="","",IF(M146&lt;&gt;"",IF(M146&lt;=L146,"Met","Missed"),IF($B$2&gt;L146,"Overdue",IF(L146-$B$2&lt;=1,"Due soon","On track"))))</f>
        <v/>
      </c>
    </row>
    <row r="147">
      <c r="B147" s="3" t="n"/>
      <c r="G147" s="5" t="n"/>
      <c r="H147" s="5" t="n"/>
      <c r="I147" s="5">
        <f>IF(G147="","",G147-H147)</f>
        <v/>
      </c>
      <c r="L147" s="3">
        <f>IF(B147="","",WORKDAY(B147,K147))</f>
        <v/>
      </c>
      <c r="M147" s="3" t="n"/>
      <c r="N147">
        <f>IF(B147="","",IF(M147&lt;&gt;"",NETWORKDAYS(B147,M147)-1,NETWORKDAYS(B147,$B$2)-1))</f>
        <v/>
      </c>
      <c r="O147">
        <f>IF(B147="","",IF(M147&lt;&gt;"",IF(M147&lt;=L147,"Met","Missed"),IF($B$2&gt;L147,"Overdue",IF(L147-$B$2&lt;=1,"Due soon","On track"))))</f>
        <v/>
      </c>
    </row>
    <row r="148">
      <c r="B148" s="3" t="n"/>
      <c r="G148" s="5" t="n"/>
      <c r="H148" s="5" t="n"/>
      <c r="I148" s="5">
        <f>IF(G148="","",G148-H148)</f>
        <v/>
      </c>
      <c r="L148" s="3">
        <f>IF(B148="","",WORKDAY(B148,K148))</f>
        <v/>
      </c>
      <c r="M148" s="3" t="n"/>
      <c r="N148">
        <f>IF(B148="","",IF(M148&lt;&gt;"",NETWORKDAYS(B148,M148)-1,NETWORKDAYS(B148,$B$2)-1))</f>
        <v/>
      </c>
      <c r="O148">
        <f>IF(B148="","",IF(M148&lt;&gt;"",IF(M148&lt;=L148,"Met","Missed"),IF($B$2&gt;L148,"Overdue",IF(L148-$B$2&lt;=1,"Due soon","On track"))))</f>
        <v/>
      </c>
    </row>
    <row r="149">
      <c r="B149" s="3" t="n"/>
      <c r="G149" s="5" t="n"/>
      <c r="H149" s="5" t="n"/>
      <c r="I149" s="5">
        <f>IF(G149="","",G149-H149)</f>
        <v/>
      </c>
      <c r="L149" s="3">
        <f>IF(B149="","",WORKDAY(B149,K149))</f>
        <v/>
      </c>
      <c r="M149" s="3" t="n"/>
      <c r="N149">
        <f>IF(B149="","",IF(M149&lt;&gt;"",NETWORKDAYS(B149,M149)-1,NETWORKDAYS(B149,$B$2)-1))</f>
        <v/>
      </c>
      <c r="O149">
        <f>IF(B149="","",IF(M149&lt;&gt;"",IF(M149&lt;=L149,"Met","Missed"),IF($B$2&gt;L149,"Overdue",IF(L149-$B$2&lt;=1,"Due soon","On track"))))</f>
        <v/>
      </c>
    </row>
    <row r="150">
      <c r="B150" s="3" t="n"/>
      <c r="G150" s="5" t="n"/>
      <c r="H150" s="5" t="n"/>
      <c r="I150" s="5">
        <f>IF(G150="","",G150-H150)</f>
        <v/>
      </c>
      <c r="L150" s="3">
        <f>IF(B150="","",WORKDAY(B150,K150))</f>
        <v/>
      </c>
      <c r="M150" s="3" t="n"/>
      <c r="N150">
        <f>IF(B150="","",IF(M150&lt;&gt;"",NETWORKDAYS(B150,M150)-1,NETWORKDAYS(B150,$B$2)-1))</f>
        <v/>
      </c>
      <c r="O150">
        <f>IF(B150="","",IF(M150&lt;&gt;"",IF(M150&lt;=L150,"Met","Missed"),IF($B$2&gt;L150,"Overdue",IF(L150-$B$2&lt;=1,"Due soon","On track"))))</f>
        <v/>
      </c>
    </row>
    <row r="151">
      <c r="B151" s="3" t="n"/>
      <c r="G151" s="5" t="n"/>
      <c r="H151" s="5" t="n"/>
      <c r="I151" s="5">
        <f>IF(G151="","",G151-H151)</f>
        <v/>
      </c>
      <c r="L151" s="3">
        <f>IF(B151="","",WORKDAY(B151,K151))</f>
        <v/>
      </c>
      <c r="M151" s="3" t="n"/>
      <c r="N151">
        <f>IF(B151="","",IF(M151&lt;&gt;"",NETWORKDAYS(B151,M151)-1,NETWORKDAYS(B151,$B$2)-1))</f>
        <v/>
      </c>
      <c r="O151">
        <f>IF(B151="","",IF(M151&lt;&gt;"",IF(M151&lt;=L151,"Met","Missed"),IF($B$2&gt;L151,"Overdue",IF(L151-$B$2&lt;=1,"Due soon","On track"))))</f>
        <v/>
      </c>
    </row>
    <row r="152">
      <c r="B152" s="3" t="n"/>
      <c r="G152" s="5" t="n"/>
      <c r="H152" s="5" t="n"/>
      <c r="I152" s="5">
        <f>IF(G152="","",G152-H152)</f>
        <v/>
      </c>
      <c r="L152" s="3">
        <f>IF(B152="","",WORKDAY(B152,K152))</f>
        <v/>
      </c>
      <c r="M152" s="3" t="n"/>
      <c r="N152">
        <f>IF(B152="","",IF(M152&lt;&gt;"",NETWORKDAYS(B152,M152)-1,NETWORKDAYS(B152,$B$2)-1))</f>
        <v/>
      </c>
      <c r="O152">
        <f>IF(B152="","",IF(M152&lt;&gt;"",IF(M152&lt;=L152,"Met","Missed"),IF($B$2&gt;L152,"Overdue",IF(L152-$B$2&lt;=1,"Due soon","On track"))))</f>
        <v/>
      </c>
    </row>
    <row r="153">
      <c r="B153" s="3" t="n"/>
      <c r="G153" s="5" t="n"/>
      <c r="H153" s="5" t="n"/>
      <c r="I153" s="5">
        <f>IF(G153="","",G153-H153)</f>
        <v/>
      </c>
      <c r="L153" s="3">
        <f>IF(B153="","",WORKDAY(B153,K153))</f>
        <v/>
      </c>
      <c r="M153" s="3" t="n"/>
      <c r="N153">
        <f>IF(B153="","",IF(M153&lt;&gt;"",NETWORKDAYS(B153,M153)-1,NETWORKDAYS(B153,$B$2)-1))</f>
        <v/>
      </c>
      <c r="O153">
        <f>IF(B153="","",IF(M153&lt;&gt;"",IF(M153&lt;=L153,"Met","Missed"),IF($B$2&gt;L153,"Overdue",IF(L153-$B$2&lt;=1,"Due soon","On track"))))</f>
        <v/>
      </c>
    </row>
    <row r="154">
      <c r="B154" s="3" t="n"/>
      <c r="G154" s="5" t="n"/>
      <c r="H154" s="5" t="n"/>
      <c r="I154" s="5">
        <f>IF(G154="","",G154-H154)</f>
        <v/>
      </c>
      <c r="L154" s="3">
        <f>IF(B154="","",WORKDAY(B154,K154))</f>
        <v/>
      </c>
      <c r="M154" s="3" t="n"/>
      <c r="N154">
        <f>IF(B154="","",IF(M154&lt;&gt;"",NETWORKDAYS(B154,M154)-1,NETWORKDAYS(B154,$B$2)-1))</f>
        <v/>
      </c>
      <c r="O154">
        <f>IF(B154="","",IF(M154&lt;&gt;"",IF(M154&lt;=L154,"Met","Missed"),IF($B$2&gt;L154,"Overdue",IF(L154-$B$2&lt;=1,"Due soon","On track"))))</f>
        <v/>
      </c>
    </row>
    <row r="155">
      <c r="B155" s="3" t="n"/>
      <c r="G155" s="5" t="n"/>
      <c r="H155" s="5" t="n"/>
      <c r="I155" s="5">
        <f>IF(G155="","",G155-H155)</f>
        <v/>
      </c>
      <c r="L155" s="3">
        <f>IF(B155="","",WORKDAY(B155,K155))</f>
        <v/>
      </c>
      <c r="M155" s="3" t="n"/>
      <c r="N155">
        <f>IF(B155="","",IF(M155&lt;&gt;"",NETWORKDAYS(B155,M155)-1,NETWORKDAYS(B155,$B$2)-1))</f>
        <v/>
      </c>
      <c r="O155">
        <f>IF(B155="","",IF(M155&lt;&gt;"",IF(M155&lt;=L155,"Met","Missed"),IF($B$2&gt;L155,"Overdue",IF(L155-$B$2&lt;=1,"Due soon","On track"))))</f>
        <v/>
      </c>
    </row>
    <row r="156">
      <c r="B156" s="3" t="n"/>
      <c r="G156" s="5" t="n"/>
      <c r="H156" s="5" t="n"/>
      <c r="I156" s="5">
        <f>IF(G156="","",G156-H156)</f>
        <v/>
      </c>
      <c r="L156" s="3">
        <f>IF(B156="","",WORKDAY(B156,K156))</f>
        <v/>
      </c>
      <c r="M156" s="3" t="n"/>
      <c r="N156">
        <f>IF(B156="","",IF(M156&lt;&gt;"",NETWORKDAYS(B156,M156)-1,NETWORKDAYS(B156,$B$2)-1))</f>
        <v/>
      </c>
      <c r="O156">
        <f>IF(B156="","",IF(M156&lt;&gt;"",IF(M156&lt;=L156,"Met","Missed"),IF($B$2&gt;L156,"Overdue",IF(L156-$B$2&lt;=1,"Due soon","On track"))))</f>
        <v/>
      </c>
    </row>
    <row r="157">
      <c r="B157" s="3" t="n"/>
      <c r="G157" s="5" t="n"/>
      <c r="H157" s="5" t="n"/>
      <c r="I157" s="5">
        <f>IF(G157="","",G157-H157)</f>
        <v/>
      </c>
      <c r="L157" s="3">
        <f>IF(B157="","",WORKDAY(B157,K157))</f>
        <v/>
      </c>
      <c r="M157" s="3" t="n"/>
      <c r="N157">
        <f>IF(B157="","",IF(M157&lt;&gt;"",NETWORKDAYS(B157,M157)-1,NETWORKDAYS(B157,$B$2)-1))</f>
        <v/>
      </c>
      <c r="O157">
        <f>IF(B157="","",IF(M157&lt;&gt;"",IF(M157&lt;=L157,"Met","Missed"),IF($B$2&gt;L157,"Overdue",IF(L157-$B$2&lt;=1,"Due soon","On track"))))</f>
        <v/>
      </c>
    </row>
    <row r="158">
      <c r="B158" s="3" t="n"/>
      <c r="G158" s="5" t="n"/>
      <c r="H158" s="5" t="n"/>
      <c r="I158" s="5">
        <f>IF(G158="","",G158-H158)</f>
        <v/>
      </c>
      <c r="L158" s="3">
        <f>IF(B158="","",WORKDAY(B158,K158))</f>
        <v/>
      </c>
      <c r="M158" s="3" t="n"/>
      <c r="N158">
        <f>IF(B158="","",IF(M158&lt;&gt;"",NETWORKDAYS(B158,M158)-1,NETWORKDAYS(B158,$B$2)-1))</f>
        <v/>
      </c>
      <c r="O158">
        <f>IF(B158="","",IF(M158&lt;&gt;"",IF(M158&lt;=L158,"Met","Missed"),IF($B$2&gt;L158,"Overdue",IF(L158-$B$2&lt;=1,"Due soon","On track"))))</f>
        <v/>
      </c>
    </row>
    <row r="159">
      <c r="B159" s="3" t="n"/>
      <c r="G159" s="5" t="n"/>
      <c r="H159" s="5" t="n"/>
      <c r="I159" s="5">
        <f>IF(G159="","",G159-H159)</f>
        <v/>
      </c>
      <c r="L159" s="3">
        <f>IF(B159="","",WORKDAY(B159,K159))</f>
        <v/>
      </c>
      <c r="M159" s="3" t="n"/>
      <c r="N159">
        <f>IF(B159="","",IF(M159&lt;&gt;"",NETWORKDAYS(B159,M159)-1,NETWORKDAYS(B159,$B$2)-1))</f>
        <v/>
      </c>
      <c r="O159">
        <f>IF(B159="","",IF(M159&lt;&gt;"",IF(M159&lt;=L159,"Met","Missed"),IF($B$2&gt;L159,"Overdue",IF(L159-$B$2&lt;=1,"Due soon","On track"))))</f>
        <v/>
      </c>
    </row>
    <row r="160">
      <c r="B160" s="3" t="n"/>
      <c r="G160" s="5" t="n"/>
      <c r="H160" s="5" t="n"/>
      <c r="I160" s="5">
        <f>IF(G160="","",G160-H160)</f>
        <v/>
      </c>
      <c r="L160" s="3">
        <f>IF(B160="","",WORKDAY(B160,K160))</f>
        <v/>
      </c>
      <c r="M160" s="3" t="n"/>
      <c r="N160">
        <f>IF(B160="","",IF(M160&lt;&gt;"",NETWORKDAYS(B160,M160)-1,NETWORKDAYS(B160,$B$2)-1))</f>
        <v/>
      </c>
      <c r="O160">
        <f>IF(B160="","",IF(M160&lt;&gt;"",IF(M160&lt;=L160,"Met","Missed"),IF($B$2&gt;L160,"Overdue",IF(L160-$B$2&lt;=1,"Due soon","On track"))))</f>
        <v/>
      </c>
    </row>
    <row r="161">
      <c r="B161" s="3" t="n"/>
      <c r="G161" s="5" t="n"/>
      <c r="H161" s="5" t="n"/>
      <c r="I161" s="5">
        <f>IF(G161="","",G161-H161)</f>
        <v/>
      </c>
      <c r="L161" s="3">
        <f>IF(B161="","",WORKDAY(B161,K161))</f>
        <v/>
      </c>
      <c r="M161" s="3" t="n"/>
      <c r="N161">
        <f>IF(B161="","",IF(M161&lt;&gt;"",NETWORKDAYS(B161,M161)-1,NETWORKDAYS(B161,$B$2)-1))</f>
        <v/>
      </c>
      <c r="O161">
        <f>IF(B161="","",IF(M161&lt;&gt;"",IF(M161&lt;=L161,"Met","Missed"),IF($B$2&gt;L161,"Overdue",IF(L161-$B$2&lt;=1,"Due soon","On track"))))</f>
        <v/>
      </c>
    </row>
    <row r="162">
      <c r="B162" s="3" t="n"/>
      <c r="G162" s="5" t="n"/>
      <c r="H162" s="5" t="n"/>
      <c r="I162" s="5">
        <f>IF(G162="","",G162-H162)</f>
        <v/>
      </c>
      <c r="L162" s="3">
        <f>IF(B162="","",WORKDAY(B162,K162))</f>
        <v/>
      </c>
      <c r="M162" s="3" t="n"/>
      <c r="N162">
        <f>IF(B162="","",IF(M162&lt;&gt;"",NETWORKDAYS(B162,M162)-1,NETWORKDAYS(B162,$B$2)-1))</f>
        <v/>
      </c>
      <c r="O162">
        <f>IF(B162="","",IF(M162&lt;&gt;"",IF(M162&lt;=L162,"Met","Missed"),IF($B$2&gt;L162,"Overdue",IF(L162-$B$2&lt;=1,"Due soon","On track"))))</f>
        <v/>
      </c>
    </row>
    <row r="163">
      <c r="B163" s="3" t="n"/>
      <c r="G163" s="5" t="n"/>
      <c r="H163" s="5" t="n"/>
      <c r="I163" s="5">
        <f>IF(G163="","",G163-H163)</f>
        <v/>
      </c>
      <c r="L163" s="3">
        <f>IF(B163="","",WORKDAY(B163,K163))</f>
        <v/>
      </c>
      <c r="M163" s="3" t="n"/>
      <c r="N163">
        <f>IF(B163="","",IF(M163&lt;&gt;"",NETWORKDAYS(B163,M163)-1,NETWORKDAYS(B163,$B$2)-1))</f>
        <v/>
      </c>
      <c r="O163">
        <f>IF(B163="","",IF(M163&lt;&gt;"",IF(M163&lt;=L163,"Met","Missed"),IF($B$2&gt;L163,"Overdue",IF(L163-$B$2&lt;=1,"Due soon","On track"))))</f>
        <v/>
      </c>
    </row>
    <row r="164">
      <c r="B164" s="3" t="n"/>
      <c r="G164" s="5" t="n"/>
      <c r="H164" s="5" t="n"/>
      <c r="I164" s="5">
        <f>IF(G164="","",G164-H164)</f>
        <v/>
      </c>
      <c r="L164" s="3">
        <f>IF(B164="","",WORKDAY(B164,K164))</f>
        <v/>
      </c>
      <c r="M164" s="3" t="n"/>
      <c r="N164">
        <f>IF(B164="","",IF(M164&lt;&gt;"",NETWORKDAYS(B164,M164)-1,NETWORKDAYS(B164,$B$2)-1))</f>
        <v/>
      </c>
      <c r="O164">
        <f>IF(B164="","",IF(M164&lt;&gt;"",IF(M164&lt;=L164,"Met","Missed"),IF($B$2&gt;L164,"Overdue",IF(L164-$B$2&lt;=1,"Due soon","On track"))))</f>
        <v/>
      </c>
    </row>
    <row r="165">
      <c r="B165" s="3" t="n"/>
      <c r="G165" s="5" t="n"/>
      <c r="H165" s="5" t="n"/>
      <c r="I165" s="5">
        <f>IF(G165="","",G165-H165)</f>
        <v/>
      </c>
      <c r="L165" s="3">
        <f>IF(B165="","",WORKDAY(B165,K165))</f>
        <v/>
      </c>
      <c r="M165" s="3" t="n"/>
      <c r="N165">
        <f>IF(B165="","",IF(M165&lt;&gt;"",NETWORKDAYS(B165,M165)-1,NETWORKDAYS(B165,$B$2)-1))</f>
        <v/>
      </c>
      <c r="O165">
        <f>IF(B165="","",IF(M165&lt;&gt;"",IF(M165&lt;=L165,"Met","Missed"),IF($B$2&gt;L165,"Overdue",IF(L165-$B$2&lt;=1,"Due soon","On track"))))</f>
        <v/>
      </c>
    </row>
    <row r="166">
      <c r="B166" s="3" t="n"/>
      <c r="G166" s="5" t="n"/>
      <c r="H166" s="5" t="n"/>
      <c r="I166" s="5">
        <f>IF(G166="","",G166-H166)</f>
        <v/>
      </c>
      <c r="L166" s="3">
        <f>IF(B166="","",WORKDAY(B166,K166))</f>
        <v/>
      </c>
      <c r="M166" s="3" t="n"/>
      <c r="N166">
        <f>IF(B166="","",IF(M166&lt;&gt;"",NETWORKDAYS(B166,M166)-1,NETWORKDAYS(B166,$B$2)-1))</f>
        <v/>
      </c>
      <c r="O166">
        <f>IF(B166="","",IF(M166&lt;&gt;"",IF(M166&lt;=L166,"Met","Missed"),IF($B$2&gt;L166,"Overdue",IF(L166-$B$2&lt;=1,"Due soon","On track"))))</f>
        <v/>
      </c>
    </row>
    <row r="167">
      <c r="B167" s="3" t="n"/>
      <c r="G167" s="5" t="n"/>
      <c r="H167" s="5" t="n"/>
      <c r="I167" s="5">
        <f>IF(G167="","",G167-H167)</f>
        <v/>
      </c>
      <c r="L167" s="3">
        <f>IF(B167="","",WORKDAY(B167,K167))</f>
        <v/>
      </c>
      <c r="M167" s="3" t="n"/>
      <c r="N167">
        <f>IF(B167="","",IF(M167&lt;&gt;"",NETWORKDAYS(B167,M167)-1,NETWORKDAYS(B167,$B$2)-1))</f>
        <v/>
      </c>
      <c r="O167">
        <f>IF(B167="","",IF(M167&lt;&gt;"",IF(M167&lt;=L167,"Met","Missed"),IF($B$2&gt;L167,"Overdue",IF(L167-$B$2&lt;=1,"Due soon","On track"))))</f>
        <v/>
      </c>
    </row>
    <row r="168">
      <c r="B168" s="3" t="n"/>
      <c r="G168" s="5" t="n"/>
      <c r="H168" s="5" t="n"/>
      <c r="I168" s="5">
        <f>IF(G168="","",G168-H168)</f>
        <v/>
      </c>
      <c r="L168" s="3">
        <f>IF(B168="","",WORKDAY(B168,K168))</f>
        <v/>
      </c>
      <c r="M168" s="3" t="n"/>
      <c r="N168">
        <f>IF(B168="","",IF(M168&lt;&gt;"",NETWORKDAYS(B168,M168)-1,NETWORKDAYS(B168,$B$2)-1))</f>
        <v/>
      </c>
      <c r="O168">
        <f>IF(B168="","",IF(M168&lt;&gt;"",IF(M168&lt;=L168,"Met","Missed"),IF($B$2&gt;L168,"Overdue",IF(L168-$B$2&lt;=1,"Due soon","On track"))))</f>
        <v/>
      </c>
    </row>
    <row r="169">
      <c r="B169" s="3" t="n"/>
      <c r="G169" s="5" t="n"/>
      <c r="H169" s="5" t="n"/>
      <c r="I169" s="5">
        <f>IF(G169="","",G169-H169)</f>
        <v/>
      </c>
      <c r="L169" s="3">
        <f>IF(B169="","",WORKDAY(B169,K169))</f>
        <v/>
      </c>
      <c r="M169" s="3" t="n"/>
      <c r="N169">
        <f>IF(B169="","",IF(M169&lt;&gt;"",NETWORKDAYS(B169,M169)-1,NETWORKDAYS(B169,$B$2)-1))</f>
        <v/>
      </c>
      <c r="O169">
        <f>IF(B169="","",IF(M169&lt;&gt;"",IF(M169&lt;=L169,"Met","Missed"),IF($B$2&gt;L169,"Overdue",IF(L169-$B$2&lt;=1,"Due soon","On track"))))</f>
        <v/>
      </c>
    </row>
    <row r="170">
      <c r="B170" s="3" t="n"/>
      <c r="G170" s="5" t="n"/>
      <c r="H170" s="5" t="n"/>
      <c r="I170" s="5">
        <f>IF(G170="","",G170-H170)</f>
        <v/>
      </c>
      <c r="L170" s="3">
        <f>IF(B170="","",WORKDAY(B170,K170))</f>
        <v/>
      </c>
      <c r="M170" s="3" t="n"/>
      <c r="N170">
        <f>IF(B170="","",IF(M170&lt;&gt;"",NETWORKDAYS(B170,M170)-1,NETWORKDAYS(B170,$B$2)-1))</f>
        <v/>
      </c>
      <c r="O170">
        <f>IF(B170="","",IF(M170&lt;&gt;"",IF(M170&lt;=L170,"Met","Missed"),IF($B$2&gt;L170,"Overdue",IF(L170-$B$2&lt;=1,"Due soon","On track"))))</f>
        <v/>
      </c>
    </row>
    <row r="171">
      <c r="B171" s="3" t="n"/>
      <c r="G171" s="5" t="n"/>
      <c r="H171" s="5" t="n"/>
      <c r="I171" s="5">
        <f>IF(G171="","",G171-H171)</f>
        <v/>
      </c>
      <c r="L171" s="3">
        <f>IF(B171="","",WORKDAY(B171,K171))</f>
        <v/>
      </c>
      <c r="M171" s="3" t="n"/>
      <c r="N171">
        <f>IF(B171="","",IF(M171&lt;&gt;"",NETWORKDAYS(B171,M171)-1,NETWORKDAYS(B171,$B$2)-1))</f>
        <v/>
      </c>
      <c r="O171">
        <f>IF(B171="","",IF(M171&lt;&gt;"",IF(M171&lt;=L171,"Met","Missed"),IF($B$2&gt;L171,"Overdue",IF(L171-$B$2&lt;=1,"Due soon","On track"))))</f>
        <v/>
      </c>
    </row>
    <row r="172">
      <c r="B172" s="3" t="n"/>
      <c r="G172" s="5" t="n"/>
      <c r="H172" s="5" t="n"/>
      <c r="I172" s="5">
        <f>IF(G172="","",G172-H172)</f>
        <v/>
      </c>
      <c r="L172" s="3">
        <f>IF(B172="","",WORKDAY(B172,K172))</f>
        <v/>
      </c>
      <c r="M172" s="3" t="n"/>
      <c r="N172">
        <f>IF(B172="","",IF(M172&lt;&gt;"",NETWORKDAYS(B172,M172)-1,NETWORKDAYS(B172,$B$2)-1))</f>
        <v/>
      </c>
      <c r="O172">
        <f>IF(B172="","",IF(M172&lt;&gt;"",IF(M172&lt;=L172,"Met","Missed"),IF($B$2&gt;L172,"Overdue",IF(L172-$B$2&lt;=1,"Due soon","On track"))))</f>
        <v/>
      </c>
    </row>
    <row r="173">
      <c r="B173" s="3" t="n"/>
      <c r="G173" s="5" t="n"/>
      <c r="H173" s="5" t="n"/>
      <c r="I173" s="5">
        <f>IF(G173="","",G173-H173)</f>
        <v/>
      </c>
      <c r="L173" s="3">
        <f>IF(B173="","",WORKDAY(B173,K173))</f>
        <v/>
      </c>
      <c r="M173" s="3" t="n"/>
      <c r="N173">
        <f>IF(B173="","",IF(M173&lt;&gt;"",NETWORKDAYS(B173,M173)-1,NETWORKDAYS(B173,$B$2)-1))</f>
        <v/>
      </c>
      <c r="O173">
        <f>IF(B173="","",IF(M173&lt;&gt;"",IF(M173&lt;=L173,"Met","Missed"),IF($B$2&gt;L173,"Overdue",IF(L173-$B$2&lt;=1,"Due soon","On track"))))</f>
        <v/>
      </c>
    </row>
    <row r="174">
      <c r="B174" s="3" t="n"/>
      <c r="G174" s="5" t="n"/>
      <c r="H174" s="5" t="n"/>
      <c r="I174" s="5">
        <f>IF(G174="","",G174-H174)</f>
        <v/>
      </c>
      <c r="L174" s="3">
        <f>IF(B174="","",WORKDAY(B174,K174))</f>
        <v/>
      </c>
      <c r="M174" s="3" t="n"/>
      <c r="N174">
        <f>IF(B174="","",IF(M174&lt;&gt;"",NETWORKDAYS(B174,M174)-1,NETWORKDAYS(B174,$B$2)-1))</f>
        <v/>
      </c>
      <c r="O174">
        <f>IF(B174="","",IF(M174&lt;&gt;"",IF(M174&lt;=L174,"Met","Missed"),IF($B$2&gt;L174,"Overdue",IF(L174-$B$2&lt;=1,"Due soon","On track"))))</f>
        <v/>
      </c>
    </row>
    <row r="175">
      <c r="B175" s="3" t="n"/>
      <c r="G175" s="5" t="n"/>
      <c r="H175" s="5" t="n"/>
      <c r="I175" s="5">
        <f>IF(G175="","",G175-H175)</f>
        <v/>
      </c>
      <c r="L175" s="3">
        <f>IF(B175="","",WORKDAY(B175,K175))</f>
        <v/>
      </c>
      <c r="M175" s="3" t="n"/>
      <c r="N175">
        <f>IF(B175="","",IF(M175&lt;&gt;"",NETWORKDAYS(B175,M175)-1,NETWORKDAYS(B175,$B$2)-1))</f>
        <v/>
      </c>
      <c r="O175">
        <f>IF(B175="","",IF(M175&lt;&gt;"",IF(M175&lt;=L175,"Met","Missed"),IF($B$2&gt;L175,"Overdue",IF(L175-$B$2&lt;=1,"Due soon","On track"))))</f>
        <v/>
      </c>
    </row>
    <row r="176">
      <c r="B176" s="3" t="n"/>
      <c r="G176" s="5" t="n"/>
      <c r="H176" s="5" t="n"/>
      <c r="I176" s="5">
        <f>IF(G176="","",G176-H176)</f>
        <v/>
      </c>
      <c r="L176" s="3">
        <f>IF(B176="","",WORKDAY(B176,K176))</f>
        <v/>
      </c>
      <c r="M176" s="3" t="n"/>
      <c r="N176">
        <f>IF(B176="","",IF(M176&lt;&gt;"",NETWORKDAYS(B176,M176)-1,NETWORKDAYS(B176,$B$2)-1))</f>
        <v/>
      </c>
      <c r="O176">
        <f>IF(B176="","",IF(M176&lt;&gt;"",IF(M176&lt;=L176,"Met","Missed"),IF($B$2&gt;L176,"Overdue",IF(L176-$B$2&lt;=1,"Due soon","On track"))))</f>
        <v/>
      </c>
    </row>
    <row r="177">
      <c r="B177" s="3" t="n"/>
      <c r="G177" s="5" t="n"/>
      <c r="H177" s="5" t="n"/>
      <c r="I177" s="5">
        <f>IF(G177="","",G177-H177)</f>
        <v/>
      </c>
      <c r="L177" s="3">
        <f>IF(B177="","",WORKDAY(B177,K177))</f>
        <v/>
      </c>
      <c r="M177" s="3" t="n"/>
      <c r="N177">
        <f>IF(B177="","",IF(M177&lt;&gt;"",NETWORKDAYS(B177,M177)-1,NETWORKDAYS(B177,$B$2)-1))</f>
        <v/>
      </c>
      <c r="O177">
        <f>IF(B177="","",IF(M177&lt;&gt;"",IF(M177&lt;=L177,"Met","Missed"),IF($B$2&gt;L177,"Overdue",IF(L177-$B$2&lt;=1,"Due soon","On track"))))</f>
        <v/>
      </c>
    </row>
    <row r="178">
      <c r="B178" s="3" t="n"/>
      <c r="G178" s="5" t="n"/>
      <c r="H178" s="5" t="n"/>
      <c r="I178" s="5">
        <f>IF(G178="","",G178-H178)</f>
        <v/>
      </c>
      <c r="L178" s="3">
        <f>IF(B178="","",WORKDAY(B178,K178))</f>
        <v/>
      </c>
      <c r="M178" s="3" t="n"/>
      <c r="N178">
        <f>IF(B178="","",IF(M178&lt;&gt;"",NETWORKDAYS(B178,M178)-1,NETWORKDAYS(B178,$B$2)-1))</f>
        <v/>
      </c>
      <c r="O178">
        <f>IF(B178="","",IF(M178&lt;&gt;"",IF(M178&lt;=L178,"Met","Missed"),IF($B$2&gt;L178,"Overdue",IF(L178-$B$2&lt;=1,"Due soon","On track"))))</f>
        <v/>
      </c>
    </row>
    <row r="179">
      <c r="B179" s="3" t="n"/>
      <c r="G179" s="5" t="n"/>
      <c r="H179" s="5" t="n"/>
      <c r="I179" s="5">
        <f>IF(G179="","",G179-H179)</f>
        <v/>
      </c>
      <c r="L179" s="3">
        <f>IF(B179="","",WORKDAY(B179,K179))</f>
        <v/>
      </c>
      <c r="M179" s="3" t="n"/>
      <c r="N179">
        <f>IF(B179="","",IF(M179&lt;&gt;"",NETWORKDAYS(B179,M179)-1,NETWORKDAYS(B179,$B$2)-1))</f>
        <v/>
      </c>
      <c r="O179">
        <f>IF(B179="","",IF(M179&lt;&gt;"",IF(M179&lt;=L179,"Met","Missed"),IF($B$2&gt;L179,"Overdue",IF(L179-$B$2&lt;=1,"Due soon","On track"))))</f>
        <v/>
      </c>
    </row>
    <row r="180">
      <c r="B180" s="3" t="n"/>
      <c r="G180" s="5" t="n"/>
      <c r="H180" s="5" t="n"/>
      <c r="I180" s="5">
        <f>IF(G180="","",G180-H180)</f>
        <v/>
      </c>
      <c r="L180" s="3">
        <f>IF(B180="","",WORKDAY(B180,K180))</f>
        <v/>
      </c>
      <c r="M180" s="3" t="n"/>
      <c r="N180">
        <f>IF(B180="","",IF(M180&lt;&gt;"",NETWORKDAYS(B180,M180)-1,NETWORKDAYS(B180,$B$2)-1))</f>
        <v/>
      </c>
      <c r="O180">
        <f>IF(B180="","",IF(M180&lt;&gt;"",IF(M180&lt;=L180,"Met","Missed"),IF($B$2&gt;L180,"Overdue",IF(L180-$B$2&lt;=1,"Due soon","On track"))))</f>
        <v/>
      </c>
    </row>
    <row r="181">
      <c r="B181" s="3" t="n"/>
      <c r="G181" s="5" t="n"/>
      <c r="H181" s="5" t="n"/>
      <c r="I181" s="5">
        <f>IF(G181="","",G181-H181)</f>
        <v/>
      </c>
      <c r="L181" s="3">
        <f>IF(B181="","",WORKDAY(B181,K181))</f>
        <v/>
      </c>
      <c r="M181" s="3" t="n"/>
      <c r="N181">
        <f>IF(B181="","",IF(M181&lt;&gt;"",NETWORKDAYS(B181,M181)-1,NETWORKDAYS(B181,$B$2)-1))</f>
        <v/>
      </c>
      <c r="O181">
        <f>IF(B181="","",IF(M181&lt;&gt;"",IF(M181&lt;=L181,"Met","Missed"),IF($B$2&gt;L181,"Overdue",IF(L181-$B$2&lt;=1,"Due soon","On track"))))</f>
        <v/>
      </c>
    </row>
    <row r="182">
      <c r="B182" s="3" t="n"/>
      <c r="G182" s="5" t="n"/>
      <c r="H182" s="5" t="n"/>
      <c r="I182" s="5">
        <f>IF(G182="","",G182-H182)</f>
        <v/>
      </c>
      <c r="L182" s="3">
        <f>IF(B182="","",WORKDAY(B182,K182))</f>
        <v/>
      </c>
      <c r="M182" s="3" t="n"/>
      <c r="N182">
        <f>IF(B182="","",IF(M182&lt;&gt;"",NETWORKDAYS(B182,M182)-1,NETWORKDAYS(B182,$B$2)-1))</f>
        <v/>
      </c>
      <c r="O182">
        <f>IF(B182="","",IF(M182&lt;&gt;"",IF(M182&lt;=L182,"Met","Missed"),IF($B$2&gt;L182,"Overdue",IF(L182-$B$2&lt;=1,"Due soon","On track"))))</f>
        <v/>
      </c>
    </row>
    <row r="183">
      <c r="B183" s="3" t="n"/>
      <c r="G183" s="5" t="n"/>
      <c r="H183" s="5" t="n"/>
      <c r="I183" s="5">
        <f>IF(G183="","",G183-H183)</f>
        <v/>
      </c>
      <c r="L183" s="3">
        <f>IF(B183="","",WORKDAY(B183,K183))</f>
        <v/>
      </c>
      <c r="M183" s="3" t="n"/>
      <c r="N183">
        <f>IF(B183="","",IF(M183&lt;&gt;"",NETWORKDAYS(B183,M183)-1,NETWORKDAYS(B183,$B$2)-1))</f>
        <v/>
      </c>
      <c r="O183">
        <f>IF(B183="","",IF(M183&lt;&gt;"",IF(M183&lt;=L183,"Met","Missed"),IF($B$2&gt;L183,"Overdue",IF(L183-$B$2&lt;=1,"Due soon","On track"))))</f>
        <v/>
      </c>
    </row>
    <row r="184">
      <c r="B184" s="3" t="n"/>
      <c r="G184" s="5" t="n"/>
      <c r="H184" s="5" t="n"/>
      <c r="I184" s="5">
        <f>IF(G184="","",G184-H184)</f>
        <v/>
      </c>
      <c r="L184" s="3">
        <f>IF(B184="","",WORKDAY(B184,K184))</f>
        <v/>
      </c>
      <c r="M184" s="3" t="n"/>
      <c r="N184">
        <f>IF(B184="","",IF(M184&lt;&gt;"",NETWORKDAYS(B184,M184)-1,NETWORKDAYS(B184,$B$2)-1))</f>
        <v/>
      </c>
      <c r="O184">
        <f>IF(B184="","",IF(M184&lt;&gt;"",IF(M184&lt;=L184,"Met","Missed"),IF($B$2&gt;L184,"Overdue",IF(L184-$B$2&lt;=1,"Due soon","On track"))))</f>
        <v/>
      </c>
    </row>
    <row r="185">
      <c r="B185" s="3" t="n"/>
      <c r="G185" s="5" t="n"/>
      <c r="H185" s="5" t="n"/>
      <c r="I185" s="5">
        <f>IF(G185="","",G185-H185)</f>
        <v/>
      </c>
      <c r="L185" s="3">
        <f>IF(B185="","",WORKDAY(B185,K185))</f>
        <v/>
      </c>
      <c r="M185" s="3" t="n"/>
      <c r="N185">
        <f>IF(B185="","",IF(M185&lt;&gt;"",NETWORKDAYS(B185,M185)-1,NETWORKDAYS(B185,$B$2)-1))</f>
        <v/>
      </c>
      <c r="O185">
        <f>IF(B185="","",IF(M185&lt;&gt;"",IF(M185&lt;=L185,"Met","Missed"),IF($B$2&gt;L185,"Overdue",IF(L185-$B$2&lt;=1,"Due soon","On track"))))</f>
        <v/>
      </c>
    </row>
    <row r="186">
      <c r="B186" s="3" t="n"/>
      <c r="G186" s="5" t="n"/>
      <c r="H186" s="5" t="n"/>
      <c r="I186" s="5">
        <f>IF(G186="","",G186-H186)</f>
        <v/>
      </c>
      <c r="L186" s="3">
        <f>IF(B186="","",WORKDAY(B186,K186))</f>
        <v/>
      </c>
      <c r="M186" s="3" t="n"/>
      <c r="N186">
        <f>IF(B186="","",IF(M186&lt;&gt;"",NETWORKDAYS(B186,M186)-1,NETWORKDAYS(B186,$B$2)-1))</f>
        <v/>
      </c>
      <c r="O186">
        <f>IF(B186="","",IF(M186&lt;&gt;"",IF(M186&lt;=L186,"Met","Missed"),IF($B$2&gt;L186,"Overdue",IF(L186-$B$2&lt;=1,"Due soon","On track"))))</f>
        <v/>
      </c>
    </row>
    <row r="187">
      <c r="B187" s="3" t="n"/>
      <c r="G187" s="5" t="n"/>
      <c r="H187" s="5" t="n"/>
      <c r="I187" s="5">
        <f>IF(G187="","",G187-H187)</f>
        <v/>
      </c>
      <c r="L187" s="3">
        <f>IF(B187="","",WORKDAY(B187,K187))</f>
        <v/>
      </c>
      <c r="M187" s="3" t="n"/>
      <c r="N187">
        <f>IF(B187="","",IF(M187&lt;&gt;"",NETWORKDAYS(B187,M187)-1,NETWORKDAYS(B187,$B$2)-1))</f>
        <v/>
      </c>
      <c r="O187">
        <f>IF(B187="","",IF(M187&lt;&gt;"",IF(M187&lt;=L187,"Met","Missed"),IF($B$2&gt;L187,"Overdue",IF(L187-$B$2&lt;=1,"Due soon","On track"))))</f>
        <v/>
      </c>
    </row>
    <row r="188">
      <c r="B188" s="3" t="n"/>
      <c r="G188" s="5" t="n"/>
      <c r="H188" s="5" t="n"/>
      <c r="I188" s="5">
        <f>IF(G188="","",G188-H188)</f>
        <v/>
      </c>
      <c r="L188" s="3">
        <f>IF(B188="","",WORKDAY(B188,K188))</f>
        <v/>
      </c>
      <c r="M188" s="3" t="n"/>
      <c r="N188">
        <f>IF(B188="","",IF(M188&lt;&gt;"",NETWORKDAYS(B188,M188)-1,NETWORKDAYS(B188,$B$2)-1))</f>
        <v/>
      </c>
      <c r="O188">
        <f>IF(B188="","",IF(M188&lt;&gt;"",IF(M188&lt;=L188,"Met","Missed"),IF($B$2&gt;L188,"Overdue",IF(L188-$B$2&lt;=1,"Due soon","On track"))))</f>
        <v/>
      </c>
    </row>
    <row r="189">
      <c r="B189" s="3" t="n"/>
      <c r="G189" s="5" t="n"/>
      <c r="H189" s="5" t="n"/>
      <c r="I189" s="5">
        <f>IF(G189="","",G189-H189)</f>
        <v/>
      </c>
      <c r="L189" s="3">
        <f>IF(B189="","",WORKDAY(B189,K189))</f>
        <v/>
      </c>
      <c r="M189" s="3" t="n"/>
      <c r="N189">
        <f>IF(B189="","",IF(M189&lt;&gt;"",NETWORKDAYS(B189,M189)-1,NETWORKDAYS(B189,$B$2)-1))</f>
        <v/>
      </c>
      <c r="O189">
        <f>IF(B189="","",IF(M189&lt;&gt;"",IF(M189&lt;=L189,"Met","Missed"),IF($B$2&gt;L189,"Overdue",IF(L189-$B$2&lt;=1,"Due soon","On track"))))</f>
        <v/>
      </c>
    </row>
    <row r="190">
      <c r="B190" s="3" t="n"/>
      <c r="G190" s="5" t="n"/>
      <c r="H190" s="5" t="n"/>
      <c r="I190" s="5">
        <f>IF(G190="","",G190-H190)</f>
        <v/>
      </c>
      <c r="L190" s="3">
        <f>IF(B190="","",WORKDAY(B190,K190))</f>
        <v/>
      </c>
      <c r="M190" s="3" t="n"/>
      <c r="N190">
        <f>IF(B190="","",IF(M190&lt;&gt;"",NETWORKDAYS(B190,M190)-1,NETWORKDAYS(B190,$B$2)-1))</f>
        <v/>
      </c>
      <c r="O190">
        <f>IF(B190="","",IF(M190&lt;&gt;"",IF(M190&lt;=L190,"Met","Missed"),IF($B$2&gt;L190,"Overdue",IF(L190-$B$2&lt;=1,"Due soon","On track"))))</f>
        <v/>
      </c>
    </row>
    <row r="191">
      <c r="B191" s="3" t="n"/>
      <c r="G191" s="5" t="n"/>
      <c r="H191" s="5" t="n"/>
      <c r="I191" s="5">
        <f>IF(G191="","",G191-H191)</f>
        <v/>
      </c>
      <c r="L191" s="3">
        <f>IF(B191="","",WORKDAY(B191,K191))</f>
        <v/>
      </c>
      <c r="M191" s="3" t="n"/>
      <c r="N191">
        <f>IF(B191="","",IF(M191&lt;&gt;"",NETWORKDAYS(B191,M191)-1,NETWORKDAYS(B191,$B$2)-1))</f>
        <v/>
      </c>
      <c r="O191">
        <f>IF(B191="","",IF(M191&lt;&gt;"",IF(M191&lt;=L191,"Met","Missed"),IF($B$2&gt;L191,"Overdue",IF(L191-$B$2&lt;=1,"Due soon","On track"))))</f>
        <v/>
      </c>
    </row>
    <row r="192">
      <c r="B192" s="3" t="n"/>
      <c r="G192" s="5" t="n"/>
      <c r="H192" s="5" t="n"/>
      <c r="I192" s="5">
        <f>IF(G192="","",G192-H192)</f>
        <v/>
      </c>
      <c r="L192" s="3">
        <f>IF(B192="","",WORKDAY(B192,K192))</f>
        <v/>
      </c>
      <c r="M192" s="3" t="n"/>
      <c r="N192">
        <f>IF(B192="","",IF(M192&lt;&gt;"",NETWORKDAYS(B192,M192)-1,NETWORKDAYS(B192,$B$2)-1))</f>
        <v/>
      </c>
      <c r="O192">
        <f>IF(B192="","",IF(M192&lt;&gt;"",IF(M192&lt;=L192,"Met","Missed"),IF($B$2&gt;L192,"Overdue",IF(L192-$B$2&lt;=1,"Due soon","On track"))))</f>
        <v/>
      </c>
    </row>
    <row r="193">
      <c r="B193" s="3" t="n"/>
      <c r="G193" s="5" t="n"/>
      <c r="H193" s="5" t="n"/>
      <c r="I193" s="5">
        <f>IF(G193="","",G193-H193)</f>
        <v/>
      </c>
      <c r="L193" s="3">
        <f>IF(B193="","",WORKDAY(B193,K193))</f>
        <v/>
      </c>
      <c r="M193" s="3" t="n"/>
      <c r="N193">
        <f>IF(B193="","",IF(M193&lt;&gt;"",NETWORKDAYS(B193,M193)-1,NETWORKDAYS(B193,$B$2)-1))</f>
        <v/>
      </c>
      <c r="O193">
        <f>IF(B193="","",IF(M193&lt;&gt;"",IF(M193&lt;=L193,"Met","Missed"),IF($B$2&gt;L193,"Overdue",IF(L193-$B$2&lt;=1,"Due soon","On track"))))</f>
        <v/>
      </c>
    </row>
    <row r="194">
      <c r="B194" s="3" t="n"/>
      <c r="G194" s="5" t="n"/>
      <c r="H194" s="5" t="n"/>
      <c r="I194" s="5">
        <f>IF(G194="","",G194-H194)</f>
        <v/>
      </c>
      <c r="L194" s="3">
        <f>IF(B194="","",WORKDAY(B194,K194))</f>
        <v/>
      </c>
      <c r="M194" s="3" t="n"/>
      <c r="N194">
        <f>IF(B194="","",IF(M194&lt;&gt;"",NETWORKDAYS(B194,M194)-1,NETWORKDAYS(B194,$B$2)-1))</f>
        <v/>
      </c>
      <c r="O194">
        <f>IF(B194="","",IF(M194&lt;&gt;"",IF(M194&lt;=L194,"Met","Missed"),IF($B$2&gt;L194,"Overdue",IF(L194-$B$2&lt;=1,"Due soon","On track"))))</f>
        <v/>
      </c>
    </row>
    <row r="195">
      <c r="B195" s="3" t="n"/>
      <c r="G195" s="5" t="n"/>
      <c r="H195" s="5" t="n"/>
      <c r="I195" s="5">
        <f>IF(G195="","",G195-H195)</f>
        <v/>
      </c>
      <c r="L195" s="3">
        <f>IF(B195="","",WORKDAY(B195,K195))</f>
        <v/>
      </c>
      <c r="M195" s="3" t="n"/>
      <c r="N195">
        <f>IF(B195="","",IF(M195&lt;&gt;"",NETWORKDAYS(B195,M195)-1,NETWORKDAYS(B195,$B$2)-1))</f>
        <v/>
      </c>
      <c r="O195">
        <f>IF(B195="","",IF(M195&lt;&gt;"",IF(M195&lt;=L195,"Met","Missed"),IF($B$2&gt;L195,"Overdue",IF(L195-$B$2&lt;=1,"Due soon","On track"))))</f>
        <v/>
      </c>
    </row>
    <row r="196">
      <c r="B196" s="3" t="n"/>
      <c r="G196" s="5" t="n"/>
      <c r="H196" s="5" t="n"/>
      <c r="I196" s="5">
        <f>IF(G196="","",G196-H196)</f>
        <v/>
      </c>
      <c r="L196" s="3">
        <f>IF(B196="","",WORKDAY(B196,K196))</f>
        <v/>
      </c>
      <c r="M196" s="3" t="n"/>
      <c r="N196">
        <f>IF(B196="","",IF(M196&lt;&gt;"",NETWORKDAYS(B196,M196)-1,NETWORKDAYS(B196,$B$2)-1))</f>
        <v/>
      </c>
      <c r="O196">
        <f>IF(B196="","",IF(M196&lt;&gt;"",IF(M196&lt;=L196,"Met","Missed"),IF($B$2&gt;L196,"Overdue",IF(L196-$B$2&lt;=1,"Due soon","On track"))))</f>
        <v/>
      </c>
    </row>
    <row r="197">
      <c r="B197" s="3" t="n"/>
      <c r="G197" s="5" t="n"/>
      <c r="H197" s="5" t="n"/>
      <c r="I197" s="5">
        <f>IF(G197="","",G197-H197)</f>
        <v/>
      </c>
      <c r="L197" s="3">
        <f>IF(B197="","",WORKDAY(B197,K197))</f>
        <v/>
      </c>
      <c r="M197" s="3" t="n"/>
      <c r="N197">
        <f>IF(B197="","",IF(M197&lt;&gt;"",NETWORKDAYS(B197,M197)-1,NETWORKDAYS(B197,$B$2)-1))</f>
        <v/>
      </c>
      <c r="O197">
        <f>IF(B197="","",IF(M197&lt;&gt;"",IF(M197&lt;=L197,"Met","Missed"),IF($B$2&gt;L197,"Overdue",IF(L197-$B$2&lt;=1,"Due soon","On track"))))</f>
        <v/>
      </c>
    </row>
    <row r="198">
      <c r="B198" s="3" t="n"/>
      <c r="G198" s="5" t="n"/>
      <c r="H198" s="5" t="n"/>
      <c r="I198" s="5">
        <f>IF(G198="","",G198-H198)</f>
        <v/>
      </c>
      <c r="L198" s="3">
        <f>IF(B198="","",WORKDAY(B198,K198))</f>
        <v/>
      </c>
      <c r="M198" s="3" t="n"/>
      <c r="N198">
        <f>IF(B198="","",IF(M198&lt;&gt;"",NETWORKDAYS(B198,M198)-1,NETWORKDAYS(B198,$B$2)-1))</f>
        <v/>
      </c>
      <c r="O198">
        <f>IF(B198="","",IF(M198&lt;&gt;"",IF(M198&lt;=L198,"Met","Missed"),IF($B$2&gt;L198,"Overdue",IF(L198-$B$2&lt;=1,"Due soon","On track"))))</f>
        <v/>
      </c>
    </row>
    <row r="199">
      <c r="B199" s="3" t="n"/>
      <c r="G199" s="5" t="n"/>
      <c r="H199" s="5" t="n"/>
      <c r="I199" s="5">
        <f>IF(G199="","",G199-H199)</f>
        <v/>
      </c>
      <c r="L199" s="3">
        <f>IF(B199="","",WORKDAY(B199,K199))</f>
        <v/>
      </c>
      <c r="M199" s="3" t="n"/>
      <c r="N199">
        <f>IF(B199="","",IF(M199&lt;&gt;"",NETWORKDAYS(B199,M199)-1,NETWORKDAYS(B199,$B$2)-1))</f>
        <v/>
      </c>
      <c r="O199">
        <f>IF(B199="","",IF(M199&lt;&gt;"",IF(M199&lt;=L199,"Met","Missed"),IF($B$2&gt;L199,"Overdue",IF(L199-$B$2&lt;=1,"Due soon","On track"))))</f>
        <v/>
      </c>
    </row>
    <row r="200">
      <c r="B200" s="3" t="n"/>
      <c r="G200" s="5" t="n"/>
      <c r="H200" s="5" t="n"/>
      <c r="I200" s="5">
        <f>IF(G200="","",G200-H200)</f>
        <v/>
      </c>
      <c r="L200" s="3">
        <f>IF(B200="","",WORKDAY(B200,K200))</f>
        <v/>
      </c>
      <c r="M200" s="3" t="n"/>
      <c r="N200">
        <f>IF(B200="","",IF(M200&lt;&gt;"",NETWORKDAYS(B200,M200)-1,NETWORKDAYS(B200,$B$2)-1))</f>
        <v/>
      </c>
      <c r="O200">
        <f>IF(B200="","",IF(M200&lt;&gt;"",IF(M200&lt;=L200,"Met","Missed"),IF($B$2&gt;L200,"Overdue",IF(L200-$B$2&lt;=1,"Due soon","On track"))))</f>
        <v/>
      </c>
    </row>
    <row r="201">
      <c r="B201" s="3" t="n"/>
      <c r="G201" s="5" t="n"/>
      <c r="H201" s="5" t="n"/>
      <c r="I201" s="5">
        <f>IF(G201="","",G201-H201)</f>
        <v/>
      </c>
      <c r="L201" s="3">
        <f>IF(B201="","",WORKDAY(B201,K201))</f>
        <v/>
      </c>
      <c r="M201" s="3" t="n"/>
      <c r="N201">
        <f>IF(B201="","",IF(M201&lt;&gt;"",NETWORKDAYS(B201,M201)-1,NETWORKDAYS(B201,$B$2)-1))</f>
        <v/>
      </c>
      <c r="O201">
        <f>IF(B201="","",IF(M201&lt;&gt;"",IF(M201&lt;=L201,"Met","Missed"),IF($B$2&gt;L201,"Overdue",IF(L201-$B$2&lt;=1,"Due soon","On track"))))</f>
        <v/>
      </c>
    </row>
    <row r="202">
      <c r="B202" s="3" t="n"/>
      <c r="G202" s="5" t="n"/>
      <c r="H202" s="5" t="n"/>
      <c r="I202" s="5">
        <f>IF(G202="","",G202-H202)</f>
        <v/>
      </c>
      <c r="L202" s="3">
        <f>IF(B202="","",WORKDAY(B202,K202))</f>
        <v/>
      </c>
      <c r="M202" s="3" t="n"/>
      <c r="N202">
        <f>IF(B202="","",IF(M202&lt;&gt;"",NETWORKDAYS(B202,M202)-1,NETWORKDAYS(B202,$B$2)-1))</f>
        <v/>
      </c>
      <c r="O202">
        <f>IF(B202="","",IF(M202&lt;&gt;"",IF(M202&lt;=L202,"Met","Missed"),IF($B$2&gt;L202,"Overdue",IF(L202-$B$2&lt;=1,"Due soon","On track"))))</f>
        <v/>
      </c>
    </row>
    <row r="203">
      <c r="B203" s="3" t="n"/>
      <c r="G203" s="5" t="n"/>
      <c r="H203" s="5" t="n"/>
      <c r="I203" s="5">
        <f>IF(G203="","",G203-H203)</f>
        <v/>
      </c>
      <c r="L203" s="3">
        <f>IF(B203="","",WORKDAY(B203,K203))</f>
        <v/>
      </c>
      <c r="M203" s="3" t="n"/>
      <c r="N203">
        <f>IF(B203="","",IF(M203&lt;&gt;"",NETWORKDAYS(B203,M203)-1,NETWORKDAYS(B203,$B$2)-1))</f>
        <v/>
      </c>
      <c r="O203">
        <f>IF(B203="","",IF(M203&lt;&gt;"",IF(M203&lt;=L203,"Met","Missed"),IF($B$2&gt;L203,"Overdue",IF(L203-$B$2&lt;=1,"Due soon","On track"))))</f>
        <v/>
      </c>
    </row>
    <row r="204">
      <c r="B204" s="3" t="n"/>
      <c r="G204" s="5" t="n"/>
      <c r="H204" s="5" t="n"/>
      <c r="I204" s="5">
        <f>IF(G204="","",G204-H204)</f>
        <v/>
      </c>
      <c r="L204" s="3">
        <f>IF(B204="","",WORKDAY(B204,K204))</f>
        <v/>
      </c>
      <c r="M204" s="3" t="n"/>
      <c r="N204">
        <f>IF(B204="","",IF(M204&lt;&gt;"",NETWORKDAYS(B204,M204)-1,NETWORKDAYS(B204,$B$2)-1))</f>
        <v/>
      </c>
      <c r="O204">
        <f>IF(B204="","",IF(M204&lt;&gt;"",IF(M204&lt;=L204,"Met","Missed"),IF($B$2&gt;L204,"Overdue",IF(L204-$B$2&lt;=1,"Due soon","On track"))))</f>
        <v/>
      </c>
    </row>
  </sheetData>
  <autoFilter ref="A4:Q11"/>
  <conditionalFormatting sqref="O5:O204">
    <cfRule type="expression" priority="1" dxfId="0">
      <formula>OR(O5="Overdue",O5="Missed")</formula>
    </cfRule>
    <cfRule type="expression" priority="2" dxfId="1">
      <formula>O5="Due soon"</formula>
    </cfRule>
    <cfRule type="expression" priority="3" dxfId="2">
      <formula>OR(O5="Met",O5="On track")</formula>
    </cfRule>
  </conditionalFormatting>
  <dataValidations count="3">
    <dataValidation sqref="J5:J204" showDropDown="0" showInputMessage="0" showErrorMessage="0" allowBlank="0" type="list">
      <formula1>"Open,Pending provider,Escalated,Closed"</formula1>
    </dataValidation>
    <dataValidation sqref="E5:E204" showDropDown="0" showInputMessage="0" showErrorMessage="0" allowBlank="0" type="list">
      <formula1>"Claim status,Denial,Underpayment,Overpayment,Patient resp.,Payment trace,Eligibility,Authorization,Credentialing"</formula1>
    </dataValidation>
    <dataValidation sqref="P5:P204" showDropDown="0" showInputMessage="0" showErrorMessage="0" allowBlank="0" type="list">
      <formula1>"Provider error,Payer error,Correct adjudication,Member issue"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Queue Summary</t>
        </is>
      </c>
    </row>
    <row r="3">
      <c r="A3" s="2" t="inlineStr">
        <is>
          <t>Total tickets</t>
        </is>
      </c>
      <c r="B3">
        <f>COUNTA(Queue!A5:A204)</f>
        <v/>
      </c>
    </row>
    <row r="4">
      <c r="A4" s="2" t="inlineStr">
        <is>
          <t>Open (not closed)</t>
        </is>
      </c>
      <c r="B4">
        <f>COUNTA(Queue!A5:A204)-COUNTIF(Queue!J5:J204,"Closed")</f>
        <v/>
      </c>
    </row>
    <row r="5">
      <c r="A5" s="2" t="inlineStr">
        <is>
          <t>Closed</t>
        </is>
      </c>
      <c r="B5">
        <f>COUNTIF(Queue!J5:J204,"Closed")</f>
        <v/>
      </c>
    </row>
    <row r="6">
      <c r="A6" s="2" t="inlineStr">
        <is>
          <t>Escalated</t>
        </is>
      </c>
      <c r="B6">
        <f>COUNTIF(Queue!J5:J204,"Escalated")</f>
        <v/>
      </c>
    </row>
    <row r="7">
      <c r="A7" s="2" t="inlineStr">
        <is>
          <t>Overdue</t>
        </is>
      </c>
      <c r="B7">
        <f>COUNTIF(Queue!O5:O204,"Overdue")</f>
        <v/>
      </c>
    </row>
    <row r="8">
      <c r="A8" s="2" t="inlineStr">
        <is>
          <t>SLA met (closed)</t>
        </is>
      </c>
      <c r="B8">
        <f>COUNTIF(Queue!O5:O204,"Met")</f>
        <v/>
      </c>
    </row>
    <row r="9">
      <c r="A9" s="2" t="inlineStr">
        <is>
          <t>SLA compliance %</t>
        </is>
      </c>
      <c r="B9" s="6">
        <f>IF(B5=0,"",B8/B5)</f>
        <v/>
      </c>
    </row>
    <row r="10">
      <c r="A10" s="2" t="inlineStr">
        <is>
          <t>Avg aging, closed (days)</t>
        </is>
      </c>
      <c r="B10" s="7">
        <f>IFERROR(AVERAGEIF(Queue!J5:J204,"Closed",Queue!N5:N204),"")</f>
        <v/>
      </c>
    </row>
    <row r="11">
      <c r="A11" s="2" t="inlineStr">
        <is>
          <t>Underpayment variance $</t>
        </is>
      </c>
      <c r="B11" s="5">
        <f>SUMIF(Queue!E5:E204,"Underpayment",Queue!I5:I204)</f>
        <v/>
      </c>
    </row>
    <row r="13">
      <c r="A13" s="8" t="inlineStr">
        <is>
          <t>By root cause</t>
        </is>
      </c>
    </row>
    <row r="14">
      <c r="A14" t="inlineStr">
        <is>
          <t>Provider error</t>
        </is>
      </c>
      <c r="B14">
        <f>COUNTIF(Queue!P5:P204,A14)</f>
        <v/>
      </c>
    </row>
    <row r="15">
      <c r="A15" t="inlineStr">
        <is>
          <t>Payer error</t>
        </is>
      </c>
      <c r="B15">
        <f>COUNTIF(Queue!P5:P204,A15)</f>
        <v/>
      </c>
    </row>
    <row r="16">
      <c r="A16" t="inlineStr">
        <is>
          <t>Correct adjudication</t>
        </is>
      </c>
      <c r="B16">
        <f>COUNTIF(Queue!P5:P204,A16)</f>
        <v/>
      </c>
    </row>
    <row r="17">
      <c r="A17" t="inlineStr">
        <is>
          <t>Member issue</t>
        </is>
      </c>
      <c r="B17">
        <f>COUNTIF(Queue!P5:P204,A17)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2026-10-11T02:36:19Z</dcterms:created>
  <dcterms:modified xmlns:dcterms="http://purl.org/dc/terms/" xmlns:xsi="http://www.w3.org/2001/XMLSchema-instance" xsi:type="dcterms:W3CDTF">2026-10-11T02:36:19Z</dcterms:modified>
</cp:coreProperties>
</file>